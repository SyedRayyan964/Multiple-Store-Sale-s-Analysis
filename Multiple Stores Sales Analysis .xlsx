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9e0154c8f909e50/Attachments/Multiple Store Sales Analysis/"/>
    </mc:Choice>
  </mc:AlternateContent>
  <xr:revisionPtr revIDLastSave="1703" documentId="11_0B1D56BE9CDCCE836B02CE7A5FB0D4A9BBFD1C62" xr6:coauthVersionLast="47" xr6:coauthVersionMax="47" xr10:uidLastSave="{C7CD7021-9363-4C02-9B60-FED77A38962F}"/>
  <bookViews>
    <workbookView xWindow="-110" yWindow="-110" windowWidth="19420" windowHeight="11020" firstSheet="4" activeTab="6" xr2:uid="{00000000-000D-0000-FFFF-FFFF00000000}"/>
  </bookViews>
  <sheets>
    <sheet name="Employer Payroll From Jan" sheetId="14" r:id="rId1"/>
    <sheet name="Employers Selection " sheetId="16" r:id="rId2"/>
    <sheet name="Selecting Career" sheetId="17" state="hidden" r:id="rId3"/>
    <sheet name="Sales by Person Overview" sheetId="15" r:id="rId4"/>
    <sheet name="MultipleStore Overview" sheetId="21" r:id="rId5"/>
    <sheet name="Store Comparison" sheetId="20" r:id="rId6"/>
    <sheet name="Sales(Pivot Table + Dashboard)" sheetId="24" r:id="rId7"/>
  </sheets>
  <definedNames>
    <definedName name="Slicer_Last_Name">#N/A</definedName>
    <definedName name="Slicer_Month">#N/A</definedName>
    <definedName name="Slicer_Sale_Location">#N/A</definedName>
  </definedNames>
  <calcPr calcId="191028"/>
  <pivotCaches>
    <pivotCache cacheId="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0" l="1"/>
  <c r="O8" i="20"/>
  <c r="O9" i="20"/>
  <c r="O10" i="20"/>
  <c r="O11" i="20"/>
  <c r="O12" i="20"/>
  <c r="O13" i="20"/>
  <c r="O14" i="20"/>
  <c r="O15" i="20"/>
  <c r="O16" i="20"/>
  <c r="O17" i="20"/>
  <c r="O4" i="20"/>
  <c r="O5" i="20"/>
  <c r="O6" i="20"/>
  <c r="O3" i="20"/>
  <c r="N17" i="20"/>
  <c r="M17" i="20"/>
  <c r="N16" i="20"/>
  <c r="M16" i="20"/>
  <c r="N15" i="20"/>
  <c r="M15" i="20"/>
  <c r="N14" i="20"/>
  <c r="M14" i="20"/>
  <c r="N13" i="20"/>
  <c r="M13" i="20"/>
  <c r="N12" i="20"/>
  <c r="M12" i="20"/>
  <c r="N11" i="20"/>
  <c r="M11" i="20"/>
  <c r="N10" i="20"/>
  <c r="M10" i="20"/>
  <c r="N9" i="20"/>
  <c r="M9" i="20"/>
  <c r="N8" i="20"/>
  <c r="M8" i="20"/>
  <c r="N7" i="20"/>
  <c r="M7" i="20"/>
  <c r="N6" i="20"/>
  <c r="M6" i="20"/>
  <c r="N5" i="20"/>
  <c r="M5" i="20"/>
  <c r="N4" i="20"/>
  <c r="M4" i="20"/>
  <c r="O19" i="20"/>
  <c r="N3" i="20"/>
  <c r="N19" i="20" s="1"/>
  <c r="M3" i="20"/>
  <c r="M19" i="20" s="1"/>
  <c r="I19" i="20"/>
  <c r="H19" i="20"/>
  <c r="G19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3" i="20"/>
  <c r="F177" i="15"/>
  <c r="F176" i="15"/>
  <c r="F175" i="15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G172" i="15"/>
  <c r="H172" i="15"/>
  <c r="H2" i="15"/>
  <c r="K10" i="17"/>
  <c r="K9" i="17"/>
  <c r="K8" i="17"/>
  <c r="K7" i="17"/>
  <c r="K6" i="17"/>
  <c r="K5" i="17"/>
  <c r="I10" i="17"/>
  <c r="I9" i="17"/>
  <c r="I8" i="17"/>
  <c r="I7" i="17"/>
  <c r="I6" i="17"/>
  <c r="I5" i="17"/>
  <c r="G10" i="17"/>
  <c r="G9" i="17"/>
  <c r="G8" i="17"/>
  <c r="G7" i="17"/>
  <c r="G6" i="17"/>
  <c r="G5" i="17"/>
  <c r="E10" i="17"/>
  <c r="E9" i="17"/>
  <c r="E8" i="17"/>
  <c r="E7" i="17"/>
  <c r="E6" i="17"/>
  <c r="E5" i="17"/>
  <c r="C6" i="17"/>
  <c r="C7" i="17"/>
  <c r="C8" i="17"/>
  <c r="C9" i="17"/>
  <c r="C10" i="17"/>
  <c r="C5" i="17"/>
  <c r="L6" i="17"/>
  <c r="L7" i="17"/>
  <c r="L8" i="17"/>
  <c r="L9" i="17"/>
  <c r="L10" i="17"/>
  <c r="L5" i="17"/>
  <c r="K26" i="16"/>
  <c r="J26" i="16"/>
  <c r="I26" i="16"/>
  <c r="K25" i="16"/>
  <c r="J25" i="16"/>
  <c r="I25" i="16"/>
  <c r="K24" i="16"/>
  <c r="J24" i="16"/>
  <c r="I24" i="16"/>
  <c r="D24" i="16"/>
  <c r="E24" i="16"/>
  <c r="F24" i="16"/>
  <c r="D25" i="16"/>
  <c r="E25" i="16"/>
  <c r="F25" i="16"/>
  <c r="D26" i="16"/>
  <c r="E26" i="16"/>
  <c r="F26" i="16"/>
  <c r="C26" i="16"/>
  <c r="C25" i="16"/>
  <c r="C2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I4" i="16"/>
  <c r="J4" i="16"/>
  <c r="I5" i="16"/>
  <c r="J5" i="16"/>
  <c r="I6" i="16"/>
  <c r="J6" i="16"/>
  <c r="I7" i="16"/>
  <c r="J7" i="16"/>
  <c r="I8" i="16"/>
  <c r="J8" i="16"/>
  <c r="I9" i="16"/>
  <c r="J9" i="16"/>
  <c r="I10" i="16"/>
  <c r="J10" i="16"/>
  <c r="I11" i="16"/>
  <c r="J11" i="16"/>
  <c r="I12" i="16"/>
  <c r="J12" i="16"/>
  <c r="I13" i="16"/>
  <c r="J13" i="16"/>
  <c r="I14" i="16"/>
  <c r="J14" i="16"/>
  <c r="I15" i="16"/>
  <c r="J15" i="16"/>
  <c r="I16" i="16"/>
  <c r="J16" i="16"/>
  <c r="I17" i="16"/>
  <c r="J17" i="16"/>
  <c r="I18" i="16"/>
  <c r="J18" i="16"/>
  <c r="I19" i="16"/>
  <c r="J19" i="16"/>
  <c r="I20" i="16"/>
  <c r="J20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D27" i="14"/>
  <c r="AD23" i="14"/>
  <c r="AD27" i="14"/>
  <c r="AD25" i="14"/>
  <c r="AD24" i="14"/>
  <c r="AD5" i="14"/>
  <c r="AD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4" i="14"/>
  <c r="AB23" i="14"/>
  <c r="E27" i="14"/>
  <c r="F27" i="14"/>
  <c r="G27" i="14"/>
  <c r="H27" i="14"/>
  <c r="I27" i="14"/>
  <c r="J27" i="14"/>
  <c r="K27" i="14"/>
  <c r="L27" i="14"/>
  <c r="M27" i="14"/>
  <c r="D25" i="14"/>
  <c r="E25" i="14"/>
  <c r="F25" i="14"/>
  <c r="G25" i="14"/>
  <c r="H25" i="14"/>
  <c r="I25" i="14"/>
  <c r="J25" i="14"/>
  <c r="K25" i="14"/>
  <c r="L25" i="14"/>
  <c r="M25" i="14"/>
  <c r="D24" i="14"/>
  <c r="E24" i="14"/>
  <c r="F24" i="14"/>
  <c r="G24" i="14"/>
  <c r="H24" i="14"/>
  <c r="I24" i="14"/>
  <c r="J24" i="14"/>
  <c r="K24" i="14"/>
  <c r="L24" i="14"/>
  <c r="M24" i="14"/>
  <c r="D23" i="14"/>
  <c r="E23" i="14"/>
  <c r="F23" i="14"/>
  <c r="G23" i="14"/>
  <c r="H23" i="14"/>
  <c r="I23" i="14"/>
  <c r="J23" i="14"/>
  <c r="K23" i="14"/>
  <c r="L23" i="14"/>
  <c r="M23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X23" i="14"/>
  <c r="Y23" i="14"/>
  <c r="Z23" i="14"/>
  <c r="AA23" i="14"/>
  <c r="O23" i="14"/>
  <c r="P23" i="14"/>
  <c r="Q23" i="14"/>
  <c r="R23" i="14"/>
  <c r="S23" i="14"/>
  <c r="T23" i="14"/>
  <c r="U23" i="14"/>
  <c r="V23" i="14"/>
  <c r="W23" i="14"/>
  <c r="N24" i="14"/>
  <c r="N25" i="14"/>
  <c r="N27" i="14"/>
  <c r="Z4" i="14"/>
  <c r="AA4" i="14"/>
  <c r="AB4" i="14"/>
  <c r="Z5" i="14"/>
  <c r="AA5" i="14"/>
  <c r="AB5" i="14"/>
  <c r="Z6" i="14"/>
  <c r="AA6" i="14"/>
  <c r="AB6" i="14"/>
  <c r="Z7" i="14"/>
  <c r="AA7" i="14"/>
  <c r="AB7" i="14"/>
  <c r="Z8" i="14"/>
  <c r="AA8" i="14"/>
  <c r="AB8" i="14"/>
  <c r="Z9" i="14"/>
  <c r="AA9" i="14"/>
  <c r="AB9" i="14"/>
  <c r="Z10" i="14"/>
  <c r="AA10" i="14"/>
  <c r="AB10" i="14"/>
  <c r="Z11" i="14"/>
  <c r="AA11" i="14"/>
  <c r="AB11" i="14"/>
  <c r="Z12" i="14"/>
  <c r="AA12" i="14"/>
  <c r="AB12" i="14"/>
  <c r="Z13" i="14"/>
  <c r="AA13" i="14"/>
  <c r="AB13" i="14"/>
  <c r="Z14" i="14"/>
  <c r="AA14" i="14"/>
  <c r="AB14" i="14"/>
  <c r="Z15" i="14"/>
  <c r="AA15" i="14"/>
  <c r="AB15" i="14"/>
  <c r="Z16" i="14"/>
  <c r="AA16" i="14"/>
  <c r="AB16" i="14"/>
  <c r="Z17" i="14"/>
  <c r="AA17" i="14"/>
  <c r="AB17" i="14"/>
  <c r="Z18" i="14"/>
  <c r="AA18" i="14"/>
  <c r="AB18" i="14"/>
  <c r="Z19" i="14"/>
  <c r="AA19" i="14"/>
  <c r="AB19" i="14"/>
  <c r="Z20" i="14"/>
  <c r="AA20" i="14"/>
  <c r="AB20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4" i="14"/>
  <c r="X4" i="14"/>
  <c r="Z3" i="14"/>
  <c r="AA3" i="14"/>
  <c r="AB3" i="14"/>
  <c r="Y3" i="14"/>
  <c r="U4" i="14"/>
  <c r="V4" i="14"/>
  <c r="W4" i="14"/>
  <c r="U5" i="14"/>
  <c r="V5" i="14"/>
  <c r="W5" i="14"/>
  <c r="U6" i="14"/>
  <c r="V6" i="14"/>
  <c r="W6" i="14"/>
  <c r="U7" i="14"/>
  <c r="V7" i="14"/>
  <c r="W7" i="14"/>
  <c r="U8" i="14"/>
  <c r="V8" i="14"/>
  <c r="W8" i="14"/>
  <c r="U9" i="14"/>
  <c r="V9" i="14"/>
  <c r="W9" i="14"/>
  <c r="U10" i="14"/>
  <c r="V10" i="14"/>
  <c r="W10" i="14"/>
  <c r="U11" i="14"/>
  <c r="V11" i="14"/>
  <c r="W11" i="14"/>
  <c r="U12" i="14"/>
  <c r="V12" i="14"/>
  <c r="W12" i="14"/>
  <c r="U13" i="14"/>
  <c r="V13" i="14"/>
  <c r="W13" i="14"/>
  <c r="U14" i="14"/>
  <c r="V14" i="14"/>
  <c r="W14" i="14"/>
  <c r="U15" i="14"/>
  <c r="V15" i="14"/>
  <c r="W15" i="14"/>
  <c r="U16" i="14"/>
  <c r="V16" i="14"/>
  <c r="W16" i="14"/>
  <c r="U17" i="14"/>
  <c r="V17" i="14"/>
  <c r="W17" i="14"/>
  <c r="U18" i="14"/>
  <c r="V18" i="14"/>
  <c r="W18" i="14"/>
  <c r="U19" i="14"/>
  <c r="V19" i="14"/>
  <c r="W19" i="14"/>
  <c r="U20" i="14"/>
  <c r="V20" i="14"/>
  <c r="W20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T4" i="14"/>
  <c r="S4" i="14"/>
  <c r="T3" i="14"/>
  <c r="U3" i="14" s="1"/>
  <c r="V3" i="14" s="1"/>
  <c r="W3" i="14" s="1"/>
  <c r="P4" i="14"/>
  <c r="Q4" i="14"/>
  <c r="R4" i="14"/>
  <c r="P5" i="14"/>
  <c r="Q5" i="14"/>
  <c r="R5" i="14"/>
  <c r="P6" i="14"/>
  <c r="Q6" i="14"/>
  <c r="R6" i="14"/>
  <c r="P7" i="14"/>
  <c r="Q7" i="14"/>
  <c r="R7" i="14"/>
  <c r="P8" i="14"/>
  <c r="Q8" i="14"/>
  <c r="R8" i="14"/>
  <c r="P9" i="14"/>
  <c r="Q9" i="14"/>
  <c r="R9" i="14"/>
  <c r="P10" i="14"/>
  <c r="Q10" i="14"/>
  <c r="R10" i="14"/>
  <c r="P11" i="14"/>
  <c r="Q11" i="14"/>
  <c r="R11" i="14"/>
  <c r="P12" i="14"/>
  <c r="Q12" i="14"/>
  <c r="R12" i="14"/>
  <c r="P13" i="14"/>
  <c r="Q13" i="14"/>
  <c r="R13" i="14"/>
  <c r="P14" i="14"/>
  <c r="Q14" i="14"/>
  <c r="R14" i="14"/>
  <c r="P15" i="14"/>
  <c r="Q15" i="14"/>
  <c r="R15" i="14"/>
  <c r="P16" i="14"/>
  <c r="Q16" i="14"/>
  <c r="R16" i="14"/>
  <c r="P17" i="14"/>
  <c r="Q17" i="14"/>
  <c r="R17" i="14"/>
  <c r="P18" i="14"/>
  <c r="Q18" i="14"/>
  <c r="R18" i="14"/>
  <c r="P19" i="14"/>
  <c r="Q19" i="14"/>
  <c r="R19" i="14"/>
  <c r="P20" i="14"/>
  <c r="Q20" i="14"/>
  <c r="R20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4" i="14"/>
  <c r="N4" i="14"/>
  <c r="O3" i="14"/>
  <c r="P3" i="14" s="1"/>
  <c r="Q3" i="14" s="1"/>
  <c r="R3" i="14" s="1"/>
  <c r="L4" i="14"/>
  <c r="K4" i="14"/>
  <c r="M4" i="14"/>
  <c r="K5" i="14"/>
  <c r="L5" i="14"/>
  <c r="M5" i="14"/>
  <c r="K6" i="14"/>
  <c r="L6" i="14"/>
  <c r="M6" i="14"/>
  <c r="K7" i="14"/>
  <c r="L7" i="14"/>
  <c r="M7" i="14"/>
  <c r="K8" i="14"/>
  <c r="L8" i="14"/>
  <c r="M8" i="14"/>
  <c r="K9" i="14"/>
  <c r="L9" i="14"/>
  <c r="M9" i="14"/>
  <c r="K10" i="14"/>
  <c r="L10" i="14"/>
  <c r="M10" i="14"/>
  <c r="K11" i="14"/>
  <c r="L11" i="14"/>
  <c r="M11" i="14"/>
  <c r="K12" i="14"/>
  <c r="L12" i="14"/>
  <c r="M12" i="14"/>
  <c r="K13" i="14"/>
  <c r="L13" i="14"/>
  <c r="M13" i="14"/>
  <c r="K14" i="14"/>
  <c r="L14" i="14"/>
  <c r="M14" i="14"/>
  <c r="K15" i="14"/>
  <c r="L15" i="14"/>
  <c r="M15" i="14"/>
  <c r="K16" i="14"/>
  <c r="L16" i="14"/>
  <c r="M16" i="14"/>
  <c r="K17" i="14"/>
  <c r="L17" i="14"/>
  <c r="M17" i="14"/>
  <c r="K18" i="14"/>
  <c r="L18" i="14"/>
  <c r="M18" i="14"/>
  <c r="K19" i="14"/>
  <c r="L19" i="14"/>
  <c r="M19" i="14"/>
  <c r="K20" i="14"/>
  <c r="L20" i="14"/>
  <c r="M20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I4" i="14"/>
  <c r="J3" i="14"/>
  <c r="K3" i="14" s="1"/>
  <c r="L3" i="14" s="1"/>
  <c r="M3" i="14" s="1"/>
  <c r="E3" i="14"/>
  <c r="F3" i="14" s="1"/>
  <c r="G3" i="14" s="1"/>
  <c r="H3" i="14" s="1"/>
  <c r="I5" i="14"/>
  <c r="S5" i="14" s="1"/>
  <c r="I6" i="14"/>
  <c r="S6" i="14" s="1"/>
  <c r="I7" i="14"/>
  <c r="S7" i="14" s="1"/>
  <c r="I8" i="14"/>
  <c r="S8" i="14" s="1"/>
  <c r="I9" i="14"/>
  <c r="S9" i="14" s="1"/>
  <c r="I10" i="14"/>
  <c r="S10" i="14" s="1"/>
  <c r="I11" i="14"/>
  <c r="S11" i="14" s="1"/>
  <c r="I12" i="14"/>
  <c r="S12" i="14" s="1"/>
  <c r="I13" i="14"/>
  <c r="S13" i="14" s="1"/>
  <c r="I14" i="14"/>
  <c r="S14" i="14" s="1"/>
  <c r="I15" i="14"/>
  <c r="S15" i="14" s="1"/>
  <c r="I16" i="14"/>
  <c r="S16" i="14" s="1"/>
  <c r="I17" i="14"/>
  <c r="S17" i="14" s="1"/>
  <c r="I18" i="14"/>
  <c r="S18" i="14" s="1"/>
  <c r="I19" i="14"/>
  <c r="S19" i="14" s="1"/>
  <c r="I20" i="14"/>
  <c r="S20" i="14" s="1"/>
  <c r="C25" i="14"/>
  <c r="C24" i="14"/>
  <c r="C23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H26" i="16" l="1"/>
  <c r="H25" i="16"/>
  <c r="H24" i="16"/>
  <c r="M4" i="16"/>
  <c r="N23" i="14"/>
</calcChain>
</file>

<file path=xl/sharedStrings.xml><?xml version="1.0" encoding="utf-8"?>
<sst xmlns="http://schemas.openxmlformats.org/spreadsheetml/2006/main" count="1157" uniqueCount="155">
  <si>
    <t>Employer Payroll</t>
  </si>
  <si>
    <t>Mr Rayyan</t>
  </si>
  <si>
    <t>Hours worked</t>
  </si>
  <si>
    <t>Overtime Hours</t>
  </si>
  <si>
    <t>Pay</t>
  </si>
  <si>
    <t>Overtime Bonus</t>
  </si>
  <si>
    <t>Total Pay</t>
  </si>
  <si>
    <t>Jan pay</t>
  </si>
  <si>
    <t>Last Name</t>
  </si>
  <si>
    <t>First Name</t>
  </si>
  <si>
    <t>Hourly Wage</t>
  </si>
  <si>
    <t>Rayyan</t>
  </si>
  <si>
    <t>Syed</t>
  </si>
  <si>
    <t>Ayesha</t>
  </si>
  <si>
    <t>Nasir</t>
  </si>
  <si>
    <t>Maira</t>
  </si>
  <si>
    <t>Rajpoot</t>
  </si>
  <si>
    <t>Maria</t>
  </si>
  <si>
    <t>Umar</t>
  </si>
  <si>
    <t>Nabiha</t>
  </si>
  <si>
    <t>Ansari</t>
  </si>
  <si>
    <t>Ritaj</t>
  </si>
  <si>
    <t>Hussain</t>
  </si>
  <si>
    <t>Abubakar</t>
  </si>
  <si>
    <t>Beta</t>
  </si>
  <si>
    <t>Mustafa</t>
  </si>
  <si>
    <t>Kaala</t>
  </si>
  <si>
    <t>Hamood</t>
  </si>
  <si>
    <t>Bachha</t>
  </si>
  <si>
    <t>Kamran</t>
  </si>
  <si>
    <t>Chartered</t>
  </si>
  <si>
    <t>Zayan</t>
  </si>
  <si>
    <t>Affan</t>
  </si>
  <si>
    <t>Malik</t>
  </si>
  <si>
    <t>Auns</t>
  </si>
  <si>
    <t>Baqir</t>
  </si>
  <si>
    <t>Nikaal</t>
  </si>
  <si>
    <t>Muhammad</t>
  </si>
  <si>
    <t>Bilal</t>
  </si>
  <si>
    <t>Usman</t>
  </si>
  <si>
    <t>Zeeshan</t>
  </si>
  <si>
    <t>Wajeeha</t>
  </si>
  <si>
    <t>Ishrat</t>
  </si>
  <si>
    <t>Iqbal</t>
  </si>
  <si>
    <t>Nayyar</t>
  </si>
  <si>
    <t>Max</t>
  </si>
  <si>
    <t>Min</t>
  </si>
  <si>
    <t>Average</t>
  </si>
  <si>
    <t>Total</t>
  </si>
  <si>
    <t>Gradebook</t>
  </si>
  <si>
    <t>Safety test</t>
  </si>
  <si>
    <t>Financial skill test</t>
  </si>
  <si>
    <t>Company Philosophy Test</t>
  </si>
  <si>
    <t>Drug Test</t>
  </si>
  <si>
    <t>Fire Employer?</t>
  </si>
  <si>
    <t>Points Possible</t>
  </si>
  <si>
    <t>Career Opportunities</t>
  </si>
  <si>
    <t>Job</t>
  </si>
  <si>
    <t>Job Market</t>
  </si>
  <si>
    <t>Enjoymet</t>
  </si>
  <si>
    <t>My Talent</t>
  </si>
  <si>
    <t>Schooling</t>
  </si>
  <si>
    <t>Athelte</t>
  </si>
  <si>
    <t>Doctor</t>
  </si>
  <si>
    <t>Engineer</t>
  </si>
  <si>
    <t>Army Officer</t>
  </si>
  <si>
    <t>Scientist</t>
  </si>
  <si>
    <t>Accountant</t>
  </si>
  <si>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</si>
  <si>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</si>
  <si>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</si>
  <si>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</si>
  <si>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</si>
  <si>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</si>
  <si>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</si>
  <si>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 for items less than  $50. 20% for items more than $50</t>
  </si>
  <si>
    <t>Sale Location</t>
  </si>
  <si>
    <t>Jan</t>
  </si>
  <si>
    <t>Pool Cover</t>
  </si>
  <si>
    <t>Chalie</t>
  </si>
  <si>
    <t>Barns</t>
  </si>
  <si>
    <t>NM</t>
  </si>
  <si>
    <t>Net</t>
  </si>
  <si>
    <t>Juan</t>
  </si>
  <si>
    <t>Hernandez</t>
  </si>
  <si>
    <t>CA</t>
  </si>
  <si>
    <t>8 ft Hose</t>
  </si>
  <si>
    <t>Doug</t>
  </si>
  <si>
    <t>Smith</t>
  </si>
  <si>
    <t>AZ</t>
  </si>
  <si>
    <t>Water Pump</t>
  </si>
  <si>
    <t>Chlorine Test Kit</t>
  </si>
  <si>
    <t>Hellen</t>
  </si>
  <si>
    <t>Johnson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</si>
  <si>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</si>
  <si>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</si>
  <si>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</si>
  <si>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</si>
  <si>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</si>
  <si>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</si>
  <si>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</si>
  <si>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</si>
  <si>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</si>
  <si>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</si>
  <si>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</si>
  <si>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</si>
  <si>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</si>
  <si>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</si>
  <si>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</si>
  <si>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</si>
  <si>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</si>
  <si>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</si>
  <si>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</si>
  <si>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Sum of all Items</t>
  </si>
  <si>
    <t>Sum of all Items valued more than $50</t>
  </si>
  <si>
    <t>Sum of all Items valued at $50 or less</t>
  </si>
  <si>
    <t>Average of Sale Price</t>
  </si>
  <si>
    <t>Average of Profit</t>
  </si>
  <si>
    <t>Average of Store Cost</t>
  </si>
  <si>
    <t>Grand Total</t>
  </si>
  <si>
    <t>Average of Commision 10% for items less than  $50. 20% for items more than $50</t>
  </si>
  <si>
    <t>Sales Dashboard</t>
  </si>
  <si>
    <t>Store</t>
  </si>
  <si>
    <t>Product</t>
  </si>
  <si>
    <t>Price</t>
  </si>
  <si>
    <t>Date</t>
  </si>
  <si>
    <t>Walmart</t>
  </si>
  <si>
    <t>Rice</t>
  </si>
  <si>
    <t>Costco</t>
  </si>
  <si>
    <t>Target</t>
  </si>
  <si>
    <t>Dried Beans</t>
  </si>
  <si>
    <t xml:space="preserve">Bottled Water </t>
  </si>
  <si>
    <t>Canned Vegetables</t>
  </si>
  <si>
    <t>Milk</t>
  </si>
  <si>
    <t>WallMart</t>
  </si>
  <si>
    <t>Dollar Trap</t>
  </si>
  <si>
    <t>Office Repo</t>
  </si>
  <si>
    <t>Susan</t>
  </si>
  <si>
    <t>Tim</t>
  </si>
  <si>
    <t>Ball Point Pen</t>
  </si>
  <si>
    <t>TI-35 Calculator</t>
  </si>
  <si>
    <t>100 Page Notebook</t>
  </si>
  <si>
    <t>8 oz Glue</t>
  </si>
  <si>
    <t>Clear Tape</t>
  </si>
  <si>
    <t>Erazer</t>
  </si>
  <si>
    <t>10 No. 2 Pencils</t>
  </si>
  <si>
    <t>2 inch Blinder</t>
  </si>
  <si>
    <t>USB sticks 5gb</t>
  </si>
  <si>
    <t>8 Color Markers</t>
  </si>
  <si>
    <t>Stapler</t>
  </si>
  <si>
    <t>Planner Book</t>
  </si>
  <si>
    <t>Protractor</t>
  </si>
  <si>
    <t>Compass</t>
  </si>
  <si>
    <t>Liquid Paper</t>
  </si>
  <si>
    <t>Office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</si>
</sst>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_([$$-409]* #,##0.00_);_([$$-409]* \(#,##0.00\);_([$$-409]* &quot;-&quot;??_);_(@_)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</font>
    <font>
      <sz val="12"/>
      <color rgb="FF000000"/>
      <name val="Calibri"/>
      <family val="2"/>
      <charset val="129"/>
    </font>
    <font>
      <b/>
      <sz val="12"/>
      <color rgb="FF000000"/>
      <name val="Calibri"/>
      <family val="2"/>
      <charset val="129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72"/>
      <color theme="1"/>
      <name val="Book Antiqua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wrapText="1"/>
    </xf>
    <xf numFmtId="16" fontId="1" fillId="3" borderId="0" xfId="0" applyNumberFormat="1" applyFont="1" applyFill="1"/>
    <xf numFmtId="0" fontId="0" fillId="3" borderId="0" xfId="0" applyFill="1"/>
    <xf numFmtId="16" fontId="1" fillId="4" borderId="0" xfId="0" applyNumberFormat="1" applyFont="1" applyFill="1"/>
    <xf numFmtId="0" fontId="0" fillId="4" borderId="0" xfId="0" applyFill="1"/>
    <xf numFmtId="16" fontId="1" fillId="2" borderId="0" xfId="0" applyNumberFormat="1" applyFont="1" applyFill="1"/>
    <xf numFmtId="165" fontId="0" fillId="2" borderId="0" xfId="0" applyNumberFormat="1" applyFill="1"/>
    <xf numFmtId="16" fontId="1" fillId="5" borderId="0" xfId="0" applyNumberFormat="1" applyFont="1" applyFill="1"/>
    <xf numFmtId="165" fontId="0" fillId="5" borderId="0" xfId="0" applyNumberFormat="1" applyFill="1"/>
    <xf numFmtId="16" fontId="1" fillId="6" borderId="0" xfId="0" applyNumberFormat="1" applyFont="1" applyFill="1"/>
    <xf numFmtId="165" fontId="0" fillId="6" borderId="0" xfId="0" applyNumberFormat="1" applyFill="1"/>
    <xf numFmtId="9" fontId="0" fillId="0" borderId="0" xfId="0" applyNumberFormat="1"/>
    <xf numFmtId="0" fontId="1" fillId="0" borderId="0" xfId="0" applyFont="1" applyAlignment="1">
      <alignment textRotation="90"/>
    </xf>
    <xf numFmtId="0" fontId="2" fillId="0" borderId="0" xfId="0" applyFont="1" applyAlignment="1">
      <alignment textRotation="90"/>
    </xf>
    <xf numFmtId="0" fontId="2" fillId="0" borderId="0" xfId="0" applyFont="1"/>
    <xf numFmtId="1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3" fontId="3" fillId="0" borderId="0" xfId="0" applyNumberFormat="1" applyFont="1"/>
    <xf numFmtId="0" fontId="4" fillId="0" borderId="0" xfId="0" applyFont="1" applyAlignment="1">
      <alignment wrapText="1"/>
    </xf>
    <xf numFmtId="164" fontId="3" fillId="0" borderId="0" xfId="0" applyNumberFormat="1" applyFont="1"/>
    <xf numFmtId="0" fontId="5" fillId="0" borderId="0" xfId="0" applyFont="1"/>
    <xf numFmtId="0" fontId="6" fillId="0" borderId="0" xfId="0" applyFont="1"/>
    <xf numFmtId="8" fontId="6" fillId="0" borderId="0" xfId="0" applyNumberFormat="1" applyFont="1"/>
    <xf numFmtId="14" fontId="6" fillId="0" borderId="0" xfId="0" applyNumberFormat="1" applyFont="1"/>
    <xf numFmtId="0" fontId="0" fillId="0" borderId="0" xfId="0" pivotButton="1"/>
    <xf numFmtId="0" fontId="0" fillId="0" borderId="0" xfId="0" applyAlignment="1">
      <alignment vertical="center"/>
    </xf>
    <xf numFmtId="0" fontId="7" fillId="10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B05"/>
      <color rgb="FF3C5AA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layout>
        <c:manualLayout>
          <c:xMode val="edge"/>
          <c:yMode val="edge"/>
          <c:x val="0.41418285214348211"/>
          <c:y val="3.3719400020409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('Employers Selection '!$C$4:$C$20,'Employers Selection '!$A$4:$A$20)</c:f>
              <c:strCache>
                <c:ptCount val="3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2</c:v>
                </c:pt>
                <c:pt idx="11">
                  <c:v>8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Rayyan</c:v>
                </c:pt>
                <c:pt idx="18">
                  <c:v>Ayesha</c:v>
                </c:pt>
                <c:pt idx="19">
                  <c:v>Maira</c:v>
                </c:pt>
                <c:pt idx="20">
                  <c:v>Maria</c:v>
                </c:pt>
                <c:pt idx="21">
                  <c:v>Nabiha</c:v>
                </c:pt>
                <c:pt idx="22">
                  <c:v>Ritaj</c:v>
                </c:pt>
                <c:pt idx="23">
                  <c:v>Abubakar</c:v>
                </c:pt>
                <c:pt idx="24">
                  <c:v>Mustafa</c:v>
                </c:pt>
                <c:pt idx="25">
                  <c:v>Hamood</c:v>
                </c:pt>
                <c:pt idx="26">
                  <c:v>Kamran</c:v>
                </c:pt>
                <c:pt idx="27">
                  <c:v>Zayan</c:v>
                </c:pt>
                <c:pt idx="28">
                  <c:v>Malik</c:v>
                </c:pt>
                <c:pt idx="29">
                  <c:v>Baqir</c:v>
                </c:pt>
                <c:pt idx="30">
                  <c:v>Muhammad</c:v>
                </c:pt>
                <c:pt idx="31">
                  <c:v>Usman</c:v>
                </c:pt>
                <c:pt idx="32">
                  <c:v>Wajeeha</c:v>
                </c:pt>
                <c:pt idx="33">
                  <c:v>Iqbal</c:v>
                </c:pt>
              </c:strCache>
            </c:strRef>
          </c:cat>
          <c:val>
            <c:numRef>
              <c:f>'Employers Selection '!$C$4:$C$20</c:f>
              <c:numCache>
                <c:formatCode>General</c:formatCode>
                <c:ptCount val="17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2</c:v>
                </c:pt>
                <c:pt idx="11">
                  <c:v>8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7-4C3A-AF41-3D33ED4CE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920072"/>
        <c:axId val="1896922120"/>
      </c:barChart>
      <c:catAx>
        <c:axId val="189692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22120"/>
        <c:crosses val="autoZero"/>
        <c:auto val="1"/>
        <c:lblAlgn val="ctr"/>
        <c:lblOffset val="100"/>
        <c:noMultiLvlLbl val="0"/>
      </c:catAx>
      <c:valAx>
        <c:axId val="18969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2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layout>
        <c:manualLayout>
          <c:xMode val="edge"/>
          <c:yMode val="edge"/>
          <c:x val="0.24404468780010272"/>
          <c:y val="4.5139128139047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('Employers Selection '!$E$4:$E$20,'Employers Selection '!$B$4:$B$20)</c:f>
              <c:strCache>
                <c:ptCount val="34"/>
                <c:pt idx="0">
                  <c:v>23</c:v>
                </c:pt>
                <c:pt idx="1">
                  <c:v>42</c:v>
                </c:pt>
                <c:pt idx="2">
                  <c:v>35</c:v>
                </c:pt>
                <c:pt idx="3">
                  <c:v>22</c:v>
                </c:pt>
                <c:pt idx="4">
                  <c:v>26</c:v>
                </c:pt>
                <c:pt idx="5">
                  <c:v>38</c:v>
                </c:pt>
                <c:pt idx="6">
                  <c:v>44</c:v>
                </c:pt>
                <c:pt idx="7">
                  <c:v>49</c:v>
                </c:pt>
                <c:pt idx="8">
                  <c:v>50</c:v>
                </c:pt>
                <c:pt idx="9">
                  <c:v>29</c:v>
                </c:pt>
                <c:pt idx="10">
                  <c:v>49</c:v>
                </c:pt>
                <c:pt idx="11">
                  <c:v>19</c:v>
                </c:pt>
                <c:pt idx="12">
                  <c:v>26</c:v>
                </c:pt>
                <c:pt idx="13">
                  <c:v>30</c:v>
                </c:pt>
                <c:pt idx="14">
                  <c:v>42</c:v>
                </c:pt>
                <c:pt idx="15">
                  <c:v>41</c:v>
                </c:pt>
                <c:pt idx="16">
                  <c:v>40</c:v>
                </c:pt>
                <c:pt idx="17">
                  <c:v>Syed</c:v>
                </c:pt>
                <c:pt idx="18">
                  <c:v>Nasir</c:v>
                </c:pt>
                <c:pt idx="19">
                  <c:v>Rajpoot</c:v>
                </c:pt>
                <c:pt idx="20">
                  <c:v>Umar</c:v>
                </c:pt>
                <c:pt idx="21">
                  <c:v>Ansari</c:v>
                </c:pt>
                <c:pt idx="22">
                  <c:v>Hussain</c:v>
                </c:pt>
                <c:pt idx="23">
                  <c:v>Beta</c:v>
                </c:pt>
                <c:pt idx="24">
                  <c:v>Kaala</c:v>
                </c:pt>
                <c:pt idx="25">
                  <c:v>Bachha</c:v>
                </c:pt>
                <c:pt idx="26">
                  <c:v>Chartered</c:v>
                </c:pt>
                <c:pt idx="27">
                  <c:v>Affan</c:v>
                </c:pt>
                <c:pt idx="28">
                  <c:v>Auns</c:v>
                </c:pt>
                <c:pt idx="29">
                  <c:v>Nikaal</c:v>
                </c:pt>
                <c:pt idx="30">
                  <c:v>Bilal</c:v>
                </c:pt>
                <c:pt idx="31">
                  <c:v>Zeeshan</c:v>
                </c:pt>
                <c:pt idx="32">
                  <c:v>Ishrat</c:v>
                </c:pt>
                <c:pt idx="33">
                  <c:v>Nayyar</c:v>
                </c:pt>
              </c:strCache>
            </c:strRef>
          </c:cat>
          <c:val>
            <c:numRef>
              <c:f>'Employers Selection '!$E$4:$E$20</c:f>
              <c:numCache>
                <c:formatCode>General</c:formatCode>
                <c:ptCount val="17"/>
                <c:pt idx="0">
                  <c:v>23</c:v>
                </c:pt>
                <c:pt idx="1">
                  <c:v>42</c:v>
                </c:pt>
                <c:pt idx="2">
                  <c:v>35</c:v>
                </c:pt>
                <c:pt idx="3">
                  <c:v>22</c:v>
                </c:pt>
                <c:pt idx="4">
                  <c:v>26</c:v>
                </c:pt>
                <c:pt idx="5">
                  <c:v>38</c:v>
                </c:pt>
                <c:pt idx="6">
                  <c:v>44</c:v>
                </c:pt>
                <c:pt idx="7">
                  <c:v>49</c:v>
                </c:pt>
                <c:pt idx="8">
                  <c:v>50</c:v>
                </c:pt>
                <c:pt idx="9">
                  <c:v>29</c:v>
                </c:pt>
                <c:pt idx="10">
                  <c:v>49</c:v>
                </c:pt>
                <c:pt idx="11">
                  <c:v>19</c:v>
                </c:pt>
                <c:pt idx="12">
                  <c:v>26</c:v>
                </c:pt>
                <c:pt idx="13">
                  <c:v>30</c:v>
                </c:pt>
                <c:pt idx="14">
                  <c:v>42</c:v>
                </c:pt>
                <c:pt idx="15">
                  <c:v>41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2-4138-9F93-5341F1D8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475143"/>
        <c:axId val="1792477191"/>
      </c:barChart>
      <c:catAx>
        <c:axId val="179247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77191"/>
        <c:crosses val="autoZero"/>
        <c:auto val="1"/>
        <c:lblAlgn val="ctr"/>
        <c:lblOffset val="100"/>
        <c:noMultiLvlLbl val="0"/>
      </c:catAx>
      <c:valAx>
        <c:axId val="179247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7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Comparison'!$G$18:$I$18</c:f>
              <c:strCache>
                <c:ptCount val="3"/>
                <c:pt idx="0">
                  <c:v>WallMart</c:v>
                </c:pt>
                <c:pt idx="1">
                  <c:v>Dollar Trap</c:v>
                </c:pt>
                <c:pt idx="2">
                  <c:v>Office Report</c:v>
                </c:pt>
              </c:strCache>
            </c:strRef>
          </c:cat>
          <c:val>
            <c:numRef>
              <c:f>'Store Comparison'!$G$19:$I$19</c:f>
              <c:numCache>
                <c:formatCode>_([$$-409]* #,##0.00_);_([$$-409]* \(#,##0.00\);_([$$-409]* "-"??_);_(@_)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E-4F59-8A7B-02BF93290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996232"/>
        <c:axId val="2107019272"/>
      </c:barChart>
      <c:catAx>
        <c:axId val="210699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19272"/>
        <c:crosses val="autoZero"/>
        <c:auto val="1"/>
        <c:lblAlgn val="ctr"/>
        <c:lblOffset val="100"/>
        <c:noMultiLvlLbl val="0"/>
      </c:catAx>
      <c:valAx>
        <c:axId val="21070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9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Comparison'!$M$18:$O$18</c:f>
              <c:strCache>
                <c:ptCount val="3"/>
                <c:pt idx="0">
                  <c:v>WallMart</c:v>
                </c:pt>
                <c:pt idx="1">
                  <c:v>Dollar Trap</c:v>
                </c:pt>
                <c:pt idx="2">
                  <c:v>Office Report</c:v>
                </c:pt>
              </c:strCache>
            </c:strRef>
          </c:cat>
          <c:val>
            <c:numRef>
              <c:f>'Store Comparison'!$M$19:$O$19</c:f>
              <c:numCache>
                <c:formatCode>_([$$-409]* #,##0.00_);_([$$-409]* \(#,##0.00\);_([$$-409]* "-"??_);_(@_)</c:formatCode>
                <c:ptCount val="3"/>
                <c:pt idx="0">
                  <c:v>1198.98</c:v>
                </c:pt>
                <c:pt idx="1">
                  <c:v>1390.1799999999998</c:v>
                </c:pt>
                <c:pt idx="2">
                  <c:v>1390.1799999999998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0-4732-8125-CF81B69A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279176"/>
        <c:axId val="1512594440"/>
      </c:barChart>
      <c:catAx>
        <c:axId val="147827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594440"/>
        <c:crosses val="autoZero"/>
        <c:auto val="1"/>
        <c:lblAlgn val="ctr"/>
        <c:lblOffset val="100"/>
        <c:noMultiLvlLbl val="0"/>
      </c:catAx>
      <c:valAx>
        <c:axId val="151259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7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[Multiple Stores Sales Analysis .xlsx]Sales(Pivot Table + Dashboard)!PivotTable3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'Sales(Pivot Table + Dashboard)'!$B$5</c:f>
              <c:strCache>
                <c:ptCount val="1"/>
                <c:pt idx="0">
                  <c:v>Average of Sale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'Sales(Pivot Table + Dashboard)'!$A$6:$A$7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Dashboard)'!$B$6:$B$7</c:f>
              <c:numCache>
                <c:formatCode>"$"#,##0.00</c:formatCode>
                <c:ptCount val="1"/>
                <c:pt idx="0">
                  <c:v>70.150000000000006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6-4FCB-B237-EB311E9F5086}"/>
            </c:ext>
          </c:extLst>
        </c:ser>
        <c:ser>
          <c:idx val="1"/>
          <c:order val="1"/>
          <c:tx>
            <c:strRef>
              <c:f>'Sales(Pivot Table + Dashboard)'!$C$5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'Sales(Pivot Table + Dashboard)'!$A$6:$A$7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Dashboard)'!$C$6:$C$7</c:f>
              <c:numCache>
                <c:formatCode>"$"#,##0.00</c:formatCode>
                <c:ptCount val="1"/>
                <c:pt idx="0">
                  <c:v>34.450000000000003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6-4FCB-B237-EB311E9F5086}"/>
            </c:ext>
          </c:extLst>
        </c:ser>
        <c:ser>
          <c:idx val="2"/>
          <c:order val="2"/>
          <c:tx>
            <c:strRef>
              <c:f>'Sales(Pivot Table + Dashboard)'!$D$5</c:f>
              <c:strCache>
                <c:ptCount val="1"/>
                <c:pt idx="0">
                  <c:v>Average of Store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'Sales(Pivot Table + Dashboard)'!$A$6:$A$7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Dashboard)'!$D$6:$D$7</c:f>
              <c:numCache>
                <c:formatCode>"$"#,##0.00</c:formatCode>
                <c:ptCount val="1"/>
                <c:pt idx="0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B6-4FCB-B237-EB311E9F5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53031"/>
        <c:axId val="45955079"/>
      </c:barChart>
      <c:catAx>
        <c:axId val="45953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5079"/>
        <c:crosses val="autoZero"/>
        <c:auto val="1"/>
        <c:lblAlgn val="ctr"/>
        <c:lblOffset val="100"/>
        <c:noMultiLvlLbl val="0"/>
      </c:catAx>
      <c:valAx>
        <c:axId val="4595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3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[Multiple Stores Sales Analysis .xlsx]Sales(Pivot Table + Dashboard)!PivotTable4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Commision</a:t>
            </a:r>
          </a:p>
        </c:rich>
      </c:tx>
      <c:layout>
        <c:manualLayout>
          <c:xMode val="edge"/>
          <c:yMode val="edge"/>
          <c:x val="0.33890378064444071"/>
          <c:y val="3.9351851851851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'Sales(Pivot Table + Dashboard)'!$B$25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'Sales(Pivot Table + Dashboard)'!$A$26:$A$27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Dashboard)'!$B$26:$B$27</c:f>
              <c:numCache>
                <c:formatCode>"$"#,##0.00</c:formatCode>
                <c:ptCount val="1"/>
                <c:pt idx="0">
                  <c:v>6.6450000000000005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9-430E-82E7-20B55FE02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889351"/>
        <c:axId val="175727111"/>
      </c:barChart>
      <c:catAx>
        <c:axId val="36088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111"/>
        <c:crosses val="autoZero"/>
        <c:auto val="1"/>
        <c:lblAlgn val="ctr"/>
        <c:lblOffset val="100"/>
        <c:noMultiLvlLbl val="0"/>
      </c:catAx>
      <c:valAx>
        <c:axId val="17572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[Multiple Stores Sales Analysis .xlsx]Sales(Pivot Table + Dashboard)!PivotTable5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>
        <c:manualLayout>
          <c:xMode val="edge"/>
          <c:yMode val="edge"/>
          <c:x val="0.3831397456533403"/>
          <c:y val="2.633278907378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'Sales(Pivot Table + Dashboard)'!$B$47</c:f>
              <c:strCache>
                <c:ptCount val="1"/>
                <c:pt idx="0">
                  <c:v>Average of Store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'Sales(Pivot Table + Dashboard)'!$A$48:$A$49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'Sales(Pivot Table + Dashboard)'!$B$48:$B$49</c:f>
              <c:numCache>
                <c:formatCode>"$"#,##0.00</c:formatCode>
                <c:ptCount val="1"/>
                <c:pt idx="0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4-4931-991C-776A33BF3D6C}"/>
            </c:ext>
          </c:extLst>
        </c:ser>
        <c:ser>
          <c:idx val="1"/>
          <c:order val="1"/>
          <c:tx>
            <c:strRef>
              <c:f>'Sales(Pivot Table + Dashboard)'!$C$47</c:f>
              <c:strCache>
                <c:ptCount val="1"/>
                <c:pt idx="0">
                  <c:v>Average of Sale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'Sales(Pivot Table + Dashboard)'!$A$48:$A$49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'Sales(Pivot Table + Dashboard)'!$C$48:$C$49</c:f>
              <c:numCache>
                <c:formatCode>"$"#,##0.00</c:formatCode>
                <c:ptCount val="1"/>
                <c:pt idx="0">
                  <c:v>70.150000000000006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B4-4931-991C-776A33BF3D6C}"/>
            </c:ext>
          </c:extLst>
        </c:ser>
        <c:ser>
          <c:idx val="2"/>
          <c:order val="2"/>
          <c:tx>
            <c:strRef>
              <c:f>'Sales(Pivot Table + Dashboard)'!$D$47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'Sales(Pivot Table + Dashboard)'!$A$48:$A$49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'Sales(Pivot Table + Dashboard)'!$D$48:$D$49</c:f>
              <c:numCache>
                <c:formatCode>"$"#,##0.00</c:formatCode>
                <c:ptCount val="1"/>
                <c:pt idx="0">
                  <c:v>34.450000000000003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B4-4931-991C-776A33BF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4807"/>
        <c:axId val="146451463"/>
      </c:barChart>
      <c:catAx>
        <c:axId val="146444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1463"/>
        <c:crosses val="autoZero"/>
        <c:auto val="1"/>
        <c:lblAlgn val="ctr"/>
        <c:lblOffset val="100"/>
        <c:noMultiLvlLbl val="0"/>
      </c:catAx>
      <c:valAx>
        <c:axId val="14645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[Multiple Stores Sales Analysis .xlsx]Sales(Pivot Table + Dashboard)!PivotTable3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'Sales(Pivot Table + Dashboard)'!$B$5</c:f>
              <c:strCache>
                <c:ptCount val="1"/>
                <c:pt idx="0">
                  <c:v>Average of Sale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'Sales(Pivot Table + Dashboard)'!$A$6:$A$7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Dashboard)'!$B$6:$B$7</c:f>
              <c:numCache>
                <c:formatCode>"$"#,##0.00</c:formatCode>
                <c:ptCount val="1"/>
                <c:pt idx="0">
                  <c:v>70.150000000000006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F-409C-8814-501BA5575E57}"/>
            </c:ext>
          </c:extLst>
        </c:ser>
        <c:ser>
          <c:idx val="1"/>
          <c:order val="1"/>
          <c:tx>
            <c:strRef>
              <c:f>'Sales(Pivot Table + Dashboard)'!$C$5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'Sales(Pivot Table + Dashboard)'!$A$6:$A$7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Dashboard)'!$C$6:$C$7</c:f>
              <c:numCache>
                <c:formatCode>"$"#,##0.00</c:formatCode>
                <c:ptCount val="1"/>
                <c:pt idx="0">
                  <c:v>34.450000000000003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F-409C-8814-501BA5575E57}"/>
            </c:ext>
          </c:extLst>
        </c:ser>
        <c:ser>
          <c:idx val="2"/>
          <c:order val="2"/>
          <c:tx>
            <c:strRef>
              <c:f>'Sales(Pivot Table + Dashboard)'!$D$5</c:f>
              <c:strCache>
                <c:ptCount val="1"/>
                <c:pt idx="0">
                  <c:v>Average of Store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'Sales(Pivot Table + Dashboard)'!$A$6:$A$7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Dashboard)'!$D$6:$D$7</c:f>
              <c:numCache>
                <c:formatCode>"$"#,##0.00</c:formatCode>
                <c:ptCount val="1"/>
                <c:pt idx="0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F-409C-8814-501BA5575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53031"/>
        <c:axId val="45955079"/>
      </c:barChart>
      <c:catAx>
        <c:axId val="45953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5079"/>
        <c:crosses val="autoZero"/>
        <c:auto val="1"/>
        <c:lblAlgn val="ctr"/>
        <c:lblOffset val="100"/>
        <c:noMultiLvlLbl val="0"/>
      </c:catAx>
      <c:valAx>
        <c:axId val="4595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3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[Multiple Stores Sales Analysis .xlsx]Sales(Pivot Table + Dashboard)!PivotTable5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>
        <c:manualLayout>
          <c:xMode val="edge"/>
          <c:yMode val="edge"/>
          <c:x val="0.3831397456533403"/>
          <c:y val="2.633278907378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'Sales(Pivot Table + Dashboard)'!$B$47</c:f>
              <c:strCache>
                <c:ptCount val="1"/>
                <c:pt idx="0">
                  <c:v>Average of Store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'Sales(Pivot Table + Dashboard)'!$A$48:$A$49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'Sales(Pivot Table + Dashboard)'!$B$48:$B$49</c:f>
              <c:numCache>
                <c:formatCode>"$"#,##0.00</c:formatCode>
                <c:ptCount val="1"/>
                <c:pt idx="0">
                  <c:v>35.700000000000003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5-445B-8F5A-1667C565E46A}"/>
            </c:ext>
          </c:extLst>
        </c:ser>
        <c:ser>
          <c:idx val="1"/>
          <c:order val="1"/>
          <c:tx>
            <c:strRef>
              <c:f>'Sales(Pivot Table + Dashboard)'!$C$47</c:f>
              <c:strCache>
                <c:ptCount val="1"/>
                <c:pt idx="0">
                  <c:v>Average of Sale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'Sales(Pivot Table + Dashboard)'!$A$48:$A$49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'Sales(Pivot Table + Dashboard)'!$C$48:$C$49</c:f>
              <c:numCache>
                <c:formatCode>"$"#,##0.00</c:formatCode>
                <c:ptCount val="1"/>
                <c:pt idx="0">
                  <c:v>70.150000000000006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5-445B-8F5A-1667C565E46A}"/>
            </c:ext>
          </c:extLst>
        </c:ser>
        <c:ser>
          <c:idx val="2"/>
          <c:order val="2"/>
          <c:tx>
            <c:strRef>
              <c:f>'Sales(Pivot Table + Dashboard)'!$D$47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'Sales(Pivot Table + Dashboard)'!$A$48:$A$49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'Sales(Pivot Table + Dashboard)'!$D$48:$D$49</c:f>
              <c:numCache>
                <c:formatCode>"$"#,##0.00</c:formatCode>
                <c:ptCount val="1"/>
                <c:pt idx="0">
                  <c:v>34.450000000000003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5-445B-8F5A-1667C565E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4807"/>
        <c:axId val="146451463"/>
      </c:barChart>
      <c:catAx>
        <c:axId val="146444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1463"/>
        <c:crosses val="autoZero"/>
        <c:auto val="1"/>
        <c:lblAlgn val="ctr"/>
        <c:lblOffset val="100"/>
        <c:noMultiLvlLbl val="0"/>
      </c:catAx>
      <c:valAx>
        <c:axId val="14645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[Multiple Stores Sales Analysis .xlsx]Sales(Pivot Table + Dashboard)!PivotTable4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Commision</a:t>
            </a:r>
          </a:p>
        </c:rich>
      </c:tx>
      <c:layout>
        <c:manualLayout>
          <c:xMode val="edge"/>
          <c:yMode val="edge"/>
          <c:x val="0.31675647199681106"/>
          <c:y val="3.3892876460660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'Sales(Pivot Table + Dashboard)'!$B$25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'Sales(Pivot Table + Dashboard)'!$A$26:$A$27</c:f>
              <c:strCache>
                <c:ptCount val="1"/>
                <c:pt idx="0">
                  <c:v>Smith</c:v>
                </c:pt>
              </c:strCache>
            </c:strRef>
          </c:cat>
          <c:val>
            <c:numRef>
              <c:f>'Sales(Pivot Table + Dashboard)'!$B$26:$B$27</c:f>
              <c:numCache>
                <c:formatCode>"$"#,##0.00</c:formatCode>
                <c:ptCount val="1"/>
                <c:pt idx="0">
                  <c:v>6.6450000000000005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8-4642-987F-8BFA06B79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889351"/>
        <c:axId val="175727111"/>
      </c:barChart>
      <c:catAx>
        <c:axId val="36088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111"/>
        <c:crosses val="autoZero"/>
        <c:auto val="1"/>
        <c:lblAlgn val="ctr"/>
        <c:lblOffset val="100"/>
        <c:noMultiLvlLbl val="0"/>
      </c:catAx>
      <c:valAx>
        <c:axId val="17572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438150</xdr:colOff>
      <xdr:row>1</xdr:row>
      <xdr:rowOff>0</xdr:rowOff>
    </xdr:from>
    <xdr:to>
      <xdr:col>23</xdr:col>
      <xdr:colOff>361950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FC820-204B-BE28-5C8D-3B88EC338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542925</xdr:colOff>
      <xdr:row>0</xdr:row>
      <xdr:rowOff>1828800</xdr:rowOff>
    </xdr:from>
    <xdr:to>
      <xdr:col>32</xdr:col>
      <xdr:colOff>361950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46C015-61F1-D652-F1C4-BA1B17C43CAF}"/>
            </a:ext>
            <a:ext uri="{147F2762-F138-4A5C-976F-8EAC2B608ADB}">
              <a16:predDERef xmlns:a16="http://schemas.microsoft.com/office/drawing/2014/main" pred="{C40FC820-204B-BE28-5C8D-3B88EC338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20</xdr:row>
      <xdr:rowOff>0</xdr:rowOff>
    </xdr:from>
    <xdr:to>
      <xdr:col>7</xdr:col>
      <xdr:colOff>571500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EBF159-FAC0-1DC7-04C5-3AEDA6F12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20</xdr:row>
      <xdr:rowOff>0</xdr:rowOff>
    </xdr:from>
    <xdr:to>
      <xdr:col>17</xdr:col>
      <xdr:colOff>514350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F6F4EF-35DD-4B11-69C5-6279E932F1C2}"/>
            </a:ext>
            <a:ext uri="{147F2762-F138-4A5C-976F-8EAC2B608ADB}">
              <a16:predDERef xmlns:a16="http://schemas.microsoft.com/office/drawing/2014/main" pred="{F2EBF159-FAC0-1DC7-04C5-3AEDA6F12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3</xdr:row>
      <xdr:rowOff>171450</xdr:rowOff>
    </xdr:from>
    <xdr:to>
      <xdr:col>12</xdr:col>
      <xdr:colOff>1476375</xdr:colOff>
      <xdr:row>19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FE1234-4AD7-917E-77A5-CA2783BC2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23</xdr:row>
      <xdr:rowOff>180975</xdr:rowOff>
    </xdr:from>
    <xdr:to>
      <xdr:col>7</xdr:col>
      <xdr:colOff>428625</xdr:colOff>
      <xdr:row>38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BF8E46-65D5-7DFA-38B7-7ED838D907F0}"/>
            </a:ext>
            <a:ext uri="{147F2762-F138-4A5C-976F-8EAC2B608ADB}">
              <a16:predDERef xmlns:a16="http://schemas.microsoft.com/office/drawing/2014/main" pred="{AAFE1234-4AD7-917E-77A5-CA2783BC2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101</xdr:row>
      <xdr:rowOff>57150</xdr:rowOff>
    </xdr:from>
    <xdr:to>
      <xdr:col>1</xdr:col>
      <xdr:colOff>960639</xdr:colOff>
      <xdr:row>113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onth">
              <a:extLst>
                <a:ext uri="{FF2B5EF4-FFF2-40B4-BE49-F238E27FC236}">
                  <a16:creationId xmlns:a16="http://schemas.microsoft.com/office/drawing/2014/main" id="{85839347-3750-6521-E0CA-82FA094969C6}"/>
                </a:ext>
                <a:ext uri="{147F2762-F138-4A5C-976F-8EAC2B608ADB}">
                  <a16:predDERef xmlns:a16="http://schemas.microsoft.com/office/drawing/2014/main" pred="{76BF8E46-65D5-7DFA-38B7-7ED838D907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297650"/>
              <a:ext cx="1828800" cy="222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342900</xdr:colOff>
      <xdr:row>45</xdr:row>
      <xdr:rowOff>133350</xdr:rowOff>
    </xdr:from>
    <xdr:to>
      <xdr:col>13</xdr:col>
      <xdr:colOff>0</xdr:colOff>
      <xdr:row>63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0662534-4271-2B26-EEBC-97C2E0534708}"/>
            </a:ext>
            <a:ext uri="{147F2762-F138-4A5C-976F-8EAC2B608ADB}">
              <a16:predDERef xmlns:a16="http://schemas.microsoft.com/office/drawing/2014/main" pred="{85839347-3750-6521-E0CA-82FA09496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94</xdr:row>
      <xdr:rowOff>9525</xdr:rowOff>
    </xdr:from>
    <xdr:to>
      <xdr:col>1</xdr:col>
      <xdr:colOff>960639</xdr:colOff>
      <xdr:row>101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Sale Location">
              <a:extLst>
                <a:ext uri="{FF2B5EF4-FFF2-40B4-BE49-F238E27FC236}">
                  <a16:creationId xmlns:a16="http://schemas.microsoft.com/office/drawing/2014/main" id="{1E5D2213-0CAB-9B43-3D5B-E67F09E414EA}"/>
                </a:ext>
                <a:ext uri="{147F2762-F138-4A5C-976F-8EAC2B608ADB}">
                  <a16:predDERef xmlns:a16="http://schemas.microsoft.com/office/drawing/2014/main" pred="{20662534-4271-2B26-EEBC-97C2E0534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 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916525"/>
              <a:ext cx="182880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88</xdr:row>
      <xdr:rowOff>9525</xdr:rowOff>
    </xdr:from>
    <xdr:to>
      <xdr:col>1</xdr:col>
      <xdr:colOff>960639</xdr:colOff>
      <xdr:row>93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Last Name">
              <a:extLst>
                <a:ext uri="{FF2B5EF4-FFF2-40B4-BE49-F238E27FC236}">
                  <a16:creationId xmlns:a16="http://schemas.microsoft.com/office/drawing/2014/main" id="{2AFADC39-1094-E1DE-48C5-CE561E78445F}"/>
                </a:ext>
                <a:ext uri="{147F2762-F138-4A5C-976F-8EAC2B608ADB}">
                  <a16:predDERef xmlns:a16="http://schemas.microsoft.com/office/drawing/2014/main" pred="{1E5D2213-0CAB-9B43-3D5B-E67F09E414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s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773525"/>
              <a:ext cx="182880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1285875</xdr:colOff>
      <xdr:row>87</xdr:row>
      <xdr:rowOff>180975</xdr:rowOff>
    </xdr:from>
    <xdr:to>
      <xdr:col>8</xdr:col>
      <xdr:colOff>9525</xdr:colOff>
      <xdr:row>104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65ABA33-5C03-409D-AB95-54CC85A13101}"/>
            </a:ext>
            <a:ext uri="{147F2762-F138-4A5C-976F-8EAC2B608ADB}">
              <a16:predDERef xmlns:a16="http://schemas.microsoft.com/office/drawing/2014/main" pred="{2AFADC39-1094-E1DE-48C5-CE561E784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104</xdr:row>
      <xdr:rowOff>38100</xdr:rowOff>
    </xdr:from>
    <xdr:to>
      <xdr:col>13</xdr:col>
      <xdr:colOff>0</xdr:colOff>
      <xdr:row>121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D24F0FB-C2E1-4B4D-A10D-A013402D9A94}"/>
            </a:ext>
            <a:ext uri="{147F2762-F138-4A5C-976F-8EAC2B608ADB}">
              <a16:predDERef xmlns:a16="http://schemas.microsoft.com/office/drawing/2014/main" pred="{365ABA33-5C03-409D-AB95-54CC85A13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47625</xdr:colOff>
      <xdr:row>88</xdr:row>
      <xdr:rowOff>19050</xdr:rowOff>
    </xdr:from>
    <xdr:to>
      <xdr:col>12</xdr:col>
      <xdr:colOff>1485900</xdr:colOff>
      <xdr:row>104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5545D79-8947-4B67-A08E-E4A21D9EA4A8}"/>
            </a:ext>
            <a:ext uri="{147F2762-F138-4A5C-976F-8EAC2B608ADB}">
              <a16:predDERef xmlns:a16="http://schemas.microsoft.com/office/drawing/2014/main" pred="{BD24F0FB-C2E1-4B4D-A10D-A013402D9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33.992800925924" createdVersion="8" refreshedVersion="8" minRefreshableVersion="3" recordCount="171" xr:uid="{280F48D3-DEB3-4447-BD23-E9859811E7C1}">
  <cacheSource type="worksheet">
    <worksheetSource ref="A1:K172" sheet="Sales by Person Overview"/>
  </cacheSource>
  <cacheFields count="11">
    <cacheField name="Month" numFmtId="0">
      <sharedItems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3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 count="10">
        <n v="9822"/>
        <n v="2877"/>
        <n v="2499"/>
        <n v="8722"/>
        <n v="1109"/>
        <n v="4421"/>
        <n v="9212"/>
        <n v="2242"/>
        <n v="6119"/>
        <n v="6622"/>
      </sharedItems>
    </cacheField>
    <cacheField name="Product Description" numFmtId="0">
      <sharedItems count="10"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164">
      <sharedItems containsSemiMixedTypes="0" containsString="0" containsNumber="1" minValue="3" maxValue="344" count="10">
        <n v="58.3"/>
        <n v="11.4"/>
        <n v="6.2"/>
        <n v="344"/>
        <n v="3"/>
        <n v="45"/>
        <n v="4"/>
        <n v="60"/>
        <n v="9"/>
        <n v="42"/>
      </sharedItems>
    </cacheField>
    <cacheField name="Sale Price" numFmtId="164">
      <sharedItems containsSemiMixedTypes="0" containsString="0" containsNumber="1" minValue="7" maxValue="502"/>
    </cacheField>
    <cacheField name="Profit" numFmtId="164">
      <sharedItems containsSemiMixedTypes="0" containsString="0" containsNumber="1" minValue="2.9999999999999991" maxValue="158"/>
    </cacheField>
    <cacheField name="Commision 10% for items less than  $50. 20% for items more than $50" numFmtId="164">
      <sharedItems containsSemiMixedTypes="0" containsString="0" containsNumber="1" minValue="0.29999999999999993" maxValue="31.6" count="9">
        <n v="8.0200000000000014"/>
        <n v="0.49000000000000005"/>
        <n v="0.29999999999999993"/>
        <n v="31.6"/>
        <n v="0.5"/>
        <n v="8.4"/>
        <n v="0.30000000000000004"/>
        <n v="12.8"/>
        <n v="7"/>
      </sharedItems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 count="6">
        <s v="NM"/>
        <s v="CA"/>
        <s v="AZ"/>
        <s v="CO"/>
        <s v="NV"/>
        <s v="UT"/>
      </sharedItems>
    </cacheField>
  </cacheFields>
  <extLst>
    <ext xmlns:x14="http://schemas.microsoft.com/office/spreadsheetml/2009/9/main" uri="{725AE2AE-9491-48be-B2B4-4EB974FC3084}">
      <x14:pivotCacheDefinition pivotCacheId="17898675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1001"/>
    <x v="0"/>
    <x v="0"/>
    <x v="0"/>
    <n v="98.4"/>
    <n v="40.100000000000009"/>
    <x v="0"/>
    <s v="Chalie"/>
    <x v="0"/>
    <x v="0"/>
  </r>
  <r>
    <x v="0"/>
    <n v="1002"/>
    <x v="1"/>
    <x v="1"/>
    <x v="1"/>
    <n v="16.3"/>
    <n v="4.9000000000000004"/>
    <x v="1"/>
    <s v="Juan"/>
    <x v="1"/>
    <x v="1"/>
  </r>
  <r>
    <x v="0"/>
    <n v="1003"/>
    <x v="2"/>
    <x v="2"/>
    <x v="2"/>
    <n v="9.1999999999999993"/>
    <n v="2.9999999999999991"/>
    <x v="2"/>
    <s v="Doug"/>
    <x v="2"/>
    <x v="2"/>
  </r>
  <r>
    <x v="0"/>
    <n v="1004"/>
    <x v="3"/>
    <x v="3"/>
    <x v="3"/>
    <n v="502"/>
    <n v="158"/>
    <x v="3"/>
    <s v="Chalie"/>
    <x v="0"/>
    <x v="2"/>
  </r>
  <r>
    <x v="0"/>
    <n v="1005"/>
    <x v="4"/>
    <x v="4"/>
    <x v="4"/>
    <n v="8"/>
    <n v="5"/>
    <x v="4"/>
    <s v="Doug"/>
    <x v="2"/>
    <x v="2"/>
  </r>
  <r>
    <x v="0"/>
    <n v="1006"/>
    <x v="0"/>
    <x v="0"/>
    <x v="0"/>
    <n v="98.4"/>
    <n v="40.100000000000009"/>
    <x v="0"/>
    <s v="Doug"/>
    <x v="2"/>
    <x v="2"/>
  </r>
  <r>
    <x v="0"/>
    <n v="1007"/>
    <x v="4"/>
    <x v="4"/>
    <x v="4"/>
    <n v="8"/>
    <n v="5"/>
    <x v="4"/>
    <s v="Hellen"/>
    <x v="3"/>
    <x v="0"/>
  </r>
  <r>
    <x v="0"/>
    <n v="1008"/>
    <x v="1"/>
    <x v="1"/>
    <x v="1"/>
    <n v="16.3"/>
    <n v="4.9000000000000004"/>
    <x v="1"/>
    <s v="Doug"/>
    <x v="2"/>
    <x v="0"/>
  </r>
  <r>
    <x v="0"/>
    <n v="1009"/>
    <x v="4"/>
    <x v="4"/>
    <x v="4"/>
    <n v="8"/>
    <n v="5"/>
    <x v="4"/>
    <s v="Doug"/>
    <x v="2"/>
    <x v="2"/>
  </r>
  <r>
    <x v="0"/>
    <n v="1010"/>
    <x v="1"/>
    <x v="1"/>
    <x v="1"/>
    <n v="16.3"/>
    <n v="4.9000000000000004"/>
    <x v="1"/>
    <s v="Juan"/>
    <x v="1"/>
    <x v="3"/>
  </r>
  <r>
    <x v="0"/>
    <n v="1011"/>
    <x v="1"/>
    <x v="1"/>
    <x v="1"/>
    <n v="16.3"/>
    <n v="4.9000000000000004"/>
    <x v="1"/>
    <s v="Juan"/>
    <x v="1"/>
    <x v="2"/>
  </r>
  <r>
    <x v="0"/>
    <n v="1012"/>
    <x v="5"/>
    <x v="5"/>
    <x v="5"/>
    <n v="87"/>
    <n v="42"/>
    <x v="5"/>
    <s v="Doug"/>
    <x v="2"/>
    <x v="0"/>
  </r>
  <r>
    <x v="0"/>
    <n v="1013"/>
    <x v="6"/>
    <x v="6"/>
    <x v="6"/>
    <n v="7"/>
    <n v="3"/>
    <x v="6"/>
    <s v="Hellen"/>
    <x v="3"/>
    <x v="3"/>
  </r>
  <r>
    <x v="0"/>
    <n v="1014"/>
    <x v="3"/>
    <x v="3"/>
    <x v="3"/>
    <n v="502"/>
    <n v="158"/>
    <x v="3"/>
    <s v="Chalie"/>
    <x v="0"/>
    <x v="1"/>
  </r>
  <r>
    <x v="0"/>
    <n v="1015"/>
    <x v="1"/>
    <x v="1"/>
    <x v="1"/>
    <n v="16.3"/>
    <n v="4.9000000000000004"/>
    <x v="1"/>
    <s v="Hellen"/>
    <x v="3"/>
    <x v="2"/>
  </r>
  <r>
    <x v="0"/>
    <n v="1016"/>
    <x v="2"/>
    <x v="2"/>
    <x v="2"/>
    <n v="9.1999999999999993"/>
    <n v="2.9999999999999991"/>
    <x v="2"/>
    <s v="Doug"/>
    <x v="2"/>
    <x v="1"/>
  </r>
  <r>
    <x v="1"/>
    <n v="1017"/>
    <x v="7"/>
    <x v="7"/>
    <x v="7"/>
    <n v="124"/>
    <n v="64"/>
    <x v="7"/>
    <s v="Juan"/>
    <x v="1"/>
    <x v="0"/>
  </r>
  <r>
    <x v="1"/>
    <n v="1018"/>
    <x v="4"/>
    <x v="4"/>
    <x v="4"/>
    <n v="8"/>
    <n v="5"/>
    <x v="4"/>
    <s v="Doug"/>
    <x v="2"/>
    <x v="1"/>
  </r>
  <r>
    <x v="1"/>
    <n v="1019"/>
    <x v="2"/>
    <x v="2"/>
    <x v="2"/>
    <n v="9.1999999999999993"/>
    <n v="2.9999999999999991"/>
    <x v="2"/>
    <s v="Doug"/>
    <x v="2"/>
    <x v="3"/>
  </r>
  <r>
    <x v="1"/>
    <n v="1020"/>
    <x v="2"/>
    <x v="2"/>
    <x v="2"/>
    <n v="9.1999999999999993"/>
    <n v="2.9999999999999991"/>
    <x v="2"/>
    <s v="Doug"/>
    <x v="2"/>
    <x v="4"/>
  </r>
  <r>
    <x v="1"/>
    <n v="1021"/>
    <x v="4"/>
    <x v="4"/>
    <x v="4"/>
    <n v="8"/>
    <n v="5"/>
    <x v="4"/>
    <s v="Juan"/>
    <x v="1"/>
    <x v="3"/>
  </r>
  <r>
    <x v="1"/>
    <n v="1022"/>
    <x v="1"/>
    <x v="1"/>
    <x v="1"/>
    <n v="16.3"/>
    <n v="4.9000000000000004"/>
    <x v="1"/>
    <s v="Doug"/>
    <x v="2"/>
    <x v="5"/>
  </r>
  <r>
    <x v="1"/>
    <n v="1023"/>
    <x v="4"/>
    <x v="4"/>
    <x v="4"/>
    <n v="8"/>
    <n v="5"/>
    <x v="4"/>
    <s v="Hellen"/>
    <x v="3"/>
    <x v="0"/>
  </r>
  <r>
    <x v="1"/>
    <n v="1024"/>
    <x v="6"/>
    <x v="6"/>
    <x v="6"/>
    <n v="7"/>
    <n v="3"/>
    <x v="6"/>
    <s v="Juan"/>
    <x v="1"/>
    <x v="5"/>
  </r>
  <r>
    <x v="1"/>
    <n v="1025"/>
    <x v="1"/>
    <x v="1"/>
    <x v="1"/>
    <n v="16.3"/>
    <n v="4.9000000000000004"/>
    <x v="1"/>
    <s v="Hellen"/>
    <x v="3"/>
    <x v="4"/>
  </r>
  <r>
    <x v="1"/>
    <n v="1026"/>
    <x v="8"/>
    <x v="8"/>
    <x v="8"/>
    <n v="14"/>
    <n v="5"/>
    <x v="4"/>
    <s v="Hellen"/>
    <x v="3"/>
    <x v="0"/>
  </r>
  <r>
    <x v="1"/>
    <n v="1027"/>
    <x v="8"/>
    <x v="8"/>
    <x v="8"/>
    <n v="14"/>
    <n v="5"/>
    <x v="4"/>
    <s v="Chalie"/>
    <x v="0"/>
    <x v="4"/>
  </r>
  <r>
    <x v="1"/>
    <n v="1028"/>
    <x v="3"/>
    <x v="3"/>
    <x v="3"/>
    <n v="502"/>
    <n v="158"/>
    <x v="3"/>
    <s v="Chalie"/>
    <x v="0"/>
    <x v="2"/>
  </r>
  <r>
    <x v="1"/>
    <n v="1029"/>
    <x v="2"/>
    <x v="2"/>
    <x v="2"/>
    <n v="9.1999999999999993"/>
    <n v="2.9999999999999991"/>
    <x v="2"/>
    <s v="Juan"/>
    <x v="1"/>
    <x v="2"/>
  </r>
  <r>
    <x v="1"/>
    <n v="1030"/>
    <x v="5"/>
    <x v="5"/>
    <x v="5"/>
    <n v="87"/>
    <n v="42"/>
    <x v="5"/>
    <s v="Juan"/>
    <x v="1"/>
    <x v="4"/>
  </r>
  <r>
    <x v="1"/>
    <n v="1031"/>
    <x v="4"/>
    <x v="4"/>
    <x v="4"/>
    <n v="8"/>
    <n v="5"/>
    <x v="4"/>
    <s v="Juan"/>
    <x v="1"/>
    <x v="1"/>
  </r>
  <r>
    <x v="1"/>
    <n v="1032"/>
    <x v="1"/>
    <x v="1"/>
    <x v="1"/>
    <n v="16.3"/>
    <n v="4.9000000000000004"/>
    <x v="1"/>
    <s v="Chalie"/>
    <x v="0"/>
    <x v="2"/>
  </r>
  <r>
    <x v="1"/>
    <n v="1033"/>
    <x v="0"/>
    <x v="0"/>
    <x v="0"/>
    <n v="98.4"/>
    <n v="40.100000000000009"/>
    <x v="0"/>
    <s v="Juan"/>
    <x v="1"/>
    <x v="1"/>
  </r>
  <r>
    <x v="1"/>
    <n v="1034"/>
    <x v="1"/>
    <x v="1"/>
    <x v="1"/>
    <n v="16.3"/>
    <n v="4.9000000000000004"/>
    <x v="1"/>
    <s v="Juan"/>
    <x v="1"/>
    <x v="3"/>
  </r>
  <r>
    <x v="2"/>
    <n v="1035"/>
    <x v="2"/>
    <x v="2"/>
    <x v="2"/>
    <n v="9.1999999999999993"/>
    <n v="2.9999999999999991"/>
    <x v="2"/>
    <s v="Hellen"/>
    <x v="3"/>
    <x v="1"/>
  </r>
  <r>
    <x v="2"/>
    <n v="1036"/>
    <x v="2"/>
    <x v="2"/>
    <x v="2"/>
    <n v="9.1999999999999993"/>
    <n v="2.9999999999999991"/>
    <x v="2"/>
    <s v="Juan"/>
    <x v="1"/>
    <x v="4"/>
  </r>
  <r>
    <x v="2"/>
    <n v="1037"/>
    <x v="9"/>
    <x v="9"/>
    <x v="9"/>
    <n v="77"/>
    <n v="35"/>
    <x v="8"/>
    <s v="Juan"/>
    <x v="1"/>
    <x v="4"/>
  </r>
  <r>
    <x v="2"/>
    <n v="1038"/>
    <x v="2"/>
    <x v="2"/>
    <x v="2"/>
    <n v="9.1999999999999993"/>
    <n v="2.9999999999999991"/>
    <x v="2"/>
    <s v="Juan"/>
    <x v="1"/>
    <x v="4"/>
  </r>
  <r>
    <x v="2"/>
    <n v="1039"/>
    <x v="1"/>
    <x v="1"/>
    <x v="1"/>
    <n v="16.3"/>
    <n v="4.9000000000000004"/>
    <x v="1"/>
    <s v="Juan"/>
    <x v="1"/>
    <x v="1"/>
  </r>
  <r>
    <x v="2"/>
    <n v="1040"/>
    <x v="4"/>
    <x v="4"/>
    <x v="4"/>
    <n v="8"/>
    <n v="5"/>
    <x v="4"/>
    <s v="Juan"/>
    <x v="1"/>
    <x v="2"/>
  </r>
  <r>
    <x v="2"/>
    <n v="1041"/>
    <x v="2"/>
    <x v="2"/>
    <x v="2"/>
    <n v="9.1999999999999993"/>
    <n v="2.9999999999999991"/>
    <x v="2"/>
    <s v="Chalie"/>
    <x v="0"/>
    <x v="0"/>
  </r>
  <r>
    <x v="2"/>
    <n v="1042"/>
    <x v="3"/>
    <x v="3"/>
    <x v="3"/>
    <n v="502"/>
    <n v="158"/>
    <x v="3"/>
    <s v="Doug"/>
    <x v="2"/>
    <x v="0"/>
  </r>
  <r>
    <x v="2"/>
    <n v="1043"/>
    <x v="7"/>
    <x v="7"/>
    <x v="7"/>
    <n v="124"/>
    <n v="64"/>
    <x v="7"/>
    <s v="Doug"/>
    <x v="2"/>
    <x v="1"/>
  </r>
  <r>
    <x v="2"/>
    <n v="1044"/>
    <x v="1"/>
    <x v="1"/>
    <x v="1"/>
    <n v="16.3"/>
    <n v="4.9000000000000004"/>
    <x v="1"/>
    <s v="Doug"/>
    <x v="2"/>
    <x v="1"/>
  </r>
  <r>
    <x v="2"/>
    <n v="1045"/>
    <x v="3"/>
    <x v="3"/>
    <x v="3"/>
    <n v="502"/>
    <n v="158"/>
    <x v="3"/>
    <s v="Hellen"/>
    <x v="3"/>
    <x v="2"/>
  </r>
  <r>
    <x v="2"/>
    <n v="1046"/>
    <x v="8"/>
    <x v="8"/>
    <x v="8"/>
    <n v="14"/>
    <n v="5"/>
    <x v="4"/>
    <s v="Juan"/>
    <x v="1"/>
    <x v="5"/>
  </r>
  <r>
    <x v="2"/>
    <n v="1047"/>
    <x v="9"/>
    <x v="9"/>
    <x v="9"/>
    <n v="77"/>
    <n v="35"/>
    <x v="8"/>
    <s v="Hellen"/>
    <x v="3"/>
    <x v="2"/>
  </r>
  <r>
    <x v="2"/>
    <n v="1048"/>
    <x v="3"/>
    <x v="3"/>
    <x v="3"/>
    <n v="502"/>
    <n v="158"/>
    <x v="3"/>
    <s v="Chalie"/>
    <x v="0"/>
    <x v="2"/>
  </r>
  <r>
    <x v="3"/>
    <n v="1049"/>
    <x v="2"/>
    <x v="2"/>
    <x v="2"/>
    <n v="9.1999999999999993"/>
    <n v="2.9999999999999991"/>
    <x v="2"/>
    <s v="Chalie"/>
    <x v="0"/>
    <x v="3"/>
  </r>
  <r>
    <x v="3"/>
    <n v="1050"/>
    <x v="1"/>
    <x v="1"/>
    <x v="1"/>
    <n v="16.3"/>
    <n v="4.9000000000000004"/>
    <x v="1"/>
    <s v="Chalie"/>
    <x v="0"/>
    <x v="2"/>
  </r>
  <r>
    <x v="3"/>
    <n v="1051"/>
    <x v="8"/>
    <x v="8"/>
    <x v="8"/>
    <n v="14"/>
    <n v="5"/>
    <x v="4"/>
    <s v="Doug"/>
    <x v="2"/>
    <x v="5"/>
  </r>
  <r>
    <x v="3"/>
    <n v="1052"/>
    <x v="9"/>
    <x v="9"/>
    <x v="9"/>
    <n v="77"/>
    <n v="35"/>
    <x v="8"/>
    <s v="Doug"/>
    <x v="2"/>
    <x v="2"/>
  </r>
  <r>
    <x v="3"/>
    <n v="1053"/>
    <x v="7"/>
    <x v="7"/>
    <x v="7"/>
    <n v="124"/>
    <n v="64"/>
    <x v="7"/>
    <s v="Chalie"/>
    <x v="0"/>
    <x v="1"/>
  </r>
  <r>
    <x v="3"/>
    <n v="1054"/>
    <x v="5"/>
    <x v="5"/>
    <x v="5"/>
    <n v="87"/>
    <n v="42"/>
    <x v="5"/>
    <s v="Doug"/>
    <x v="2"/>
    <x v="4"/>
  </r>
  <r>
    <x v="3"/>
    <n v="1055"/>
    <x v="8"/>
    <x v="8"/>
    <x v="8"/>
    <n v="14"/>
    <n v="5"/>
    <x v="4"/>
    <s v="Juan"/>
    <x v="1"/>
    <x v="4"/>
  </r>
  <r>
    <x v="3"/>
    <n v="1056"/>
    <x v="4"/>
    <x v="4"/>
    <x v="4"/>
    <n v="8"/>
    <n v="5"/>
    <x v="4"/>
    <s v="Doug"/>
    <x v="2"/>
    <x v="1"/>
  </r>
  <r>
    <x v="3"/>
    <n v="1057"/>
    <x v="2"/>
    <x v="2"/>
    <x v="2"/>
    <n v="9.1999999999999993"/>
    <n v="2.9999999999999991"/>
    <x v="2"/>
    <s v="Juan"/>
    <x v="1"/>
    <x v="1"/>
  </r>
  <r>
    <x v="3"/>
    <n v="1058"/>
    <x v="8"/>
    <x v="8"/>
    <x v="8"/>
    <n v="14"/>
    <n v="5"/>
    <x v="4"/>
    <s v="Hellen"/>
    <x v="3"/>
    <x v="2"/>
  </r>
  <r>
    <x v="3"/>
    <n v="1059"/>
    <x v="7"/>
    <x v="7"/>
    <x v="7"/>
    <n v="124"/>
    <n v="64"/>
    <x v="7"/>
    <s v="Doug"/>
    <x v="2"/>
    <x v="2"/>
  </r>
  <r>
    <x v="3"/>
    <n v="1060"/>
    <x v="8"/>
    <x v="8"/>
    <x v="8"/>
    <n v="14"/>
    <n v="5"/>
    <x v="4"/>
    <s v="Doug"/>
    <x v="2"/>
    <x v="4"/>
  </r>
  <r>
    <x v="4"/>
    <n v="1061"/>
    <x v="4"/>
    <x v="4"/>
    <x v="4"/>
    <n v="8"/>
    <n v="5"/>
    <x v="4"/>
    <s v="Doug"/>
    <x v="2"/>
    <x v="4"/>
  </r>
  <r>
    <x v="4"/>
    <n v="1062"/>
    <x v="2"/>
    <x v="2"/>
    <x v="2"/>
    <n v="9.1999999999999993"/>
    <n v="2.9999999999999991"/>
    <x v="2"/>
    <s v="Chalie"/>
    <x v="0"/>
    <x v="2"/>
  </r>
  <r>
    <x v="4"/>
    <n v="1063"/>
    <x v="4"/>
    <x v="4"/>
    <x v="4"/>
    <n v="8"/>
    <n v="5"/>
    <x v="4"/>
    <s v="Doug"/>
    <x v="2"/>
    <x v="1"/>
  </r>
  <r>
    <x v="4"/>
    <n v="1064"/>
    <x v="2"/>
    <x v="2"/>
    <x v="2"/>
    <n v="9.1999999999999993"/>
    <n v="2.9999999999999991"/>
    <x v="2"/>
    <s v="Hellen"/>
    <x v="3"/>
    <x v="2"/>
  </r>
  <r>
    <x v="4"/>
    <n v="1065"/>
    <x v="2"/>
    <x v="2"/>
    <x v="2"/>
    <n v="9.1999999999999993"/>
    <n v="2.9999999999999991"/>
    <x v="2"/>
    <s v="Doug"/>
    <x v="2"/>
    <x v="0"/>
  </r>
  <r>
    <x v="4"/>
    <n v="1066"/>
    <x v="1"/>
    <x v="1"/>
    <x v="1"/>
    <n v="16.3"/>
    <n v="4.9000000000000004"/>
    <x v="1"/>
    <s v="Doug"/>
    <x v="2"/>
    <x v="4"/>
  </r>
  <r>
    <x v="4"/>
    <n v="1067"/>
    <x v="1"/>
    <x v="1"/>
    <x v="1"/>
    <n v="16.3"/>
    <n v="4.9000000000000004"/>
    <x v="1"/>
    <s v="Doug"/>
    <x v="2"/>
    <x v="5"/>
  </r>
  <r>
    <x v="4"/>
    <n v="1068"/>
    <x v="8"/>
    <x v="8"/>
    <x v="8"/>
    <n v="14"/>
    <n v="5"/>
    <x v="4"/>
    <s v="Juan"/>
    <x v="1"/>
    <x v="1"/>
  </r>
  <r>
    <x v="4"/>
    <n v="1069"/>
    <x v="4"/>
    <x v="4"/>
    <x v="4"/>
    <n v="8"/>
    <n v="5"/>
    <x v="4"/>
    <s v="Doug"/>
    <x v="2"/>
    <x v="2"/>
  </r>
  <r>
    <x v="4"/>
    <n v="1070"/>
    <x v="2"/>
    <x v="2"/>
    <x v="2"/>
    <n v="9.1999999999999993"/>
    <n v="2.9999999999999991"/>
    <x v="2"/>
    <s v="Hellen"/>
    <x v="3"/>
    <x v="2"/>
  </r>
  <r>
    <x v="4"/>
    <n v="1071"/>
    <x v="4"/>
    <x v="4"/>
    <x v="4"/>
    <n v="8"/>
    <n v="5"/>
    <x v="4"/>
    <s v="Chalie"/>
    <x v="0"/>
    <x v="2"/>
  </r>
  <r>
    <x v="4"/>
    <n v="1072"/>
    <x v="4"/>
    <x v="4"/>
    <x v="4"/>
    <n v="8"/>
    <n v="5"/>
    <x v="4"/>
    <s v="Doug"/>
    <x v="2"/>
    <x v="4"/>
  </r>
  <r>
    <x v="4"/>
    <n v="1073"/>
    <x v="9"/>
    <x v="9"/>
    <x v="9"/>
    <n v="77"/>
    <n v="35"/>
    <x v="8"/>
    <s v="Doug"/>
    <x v="2"/>
    <x v="1"/>
  </r>
  <r>
    <x v="4"/>
    <n v="1074"/>
    <x v="1"/>
    <x v="1"/>
    <x v="1"/>
    <n v="16.3"/>
    <n v="4.9000000000000004"/>
    <x v="1"/>
    <s v="Doug"/>
    <x v="2"/>
    <x v="2"/>
  </r>
  <r>
    <x v="4"/>
    <n v="1075"/>
    <x v="4"/>
    <x v="4"/>
    <x v="4"/>
    <n v="8"/>
    <n v="5"/>
    <x v="4"/>
    <s v="Hellen"/>
    <x v="3"/>
    <x v="1"/>
  </r>
  <r>
    <x v="4"/>
    <n v="1076"/>
    <x v="4"/>
    <x v="4"/>
    <x v="4"/>
    <n v="8"/>
    <n v="5"/>
    <x v="4"/>
    <s v="Juan"/>
    <x v="1"/>
    <x v="2"/>
  </r>
  <r>
    <x v="4"/>
    <n v="1077"/>
    <x v="0"/>
    <x v="0"/>
    <x v="0"/>
    <n v="98.4"/>
    <n v="40.100000000000009"/>
    <x v="0"/>
    <s v="Hellen"/>
    <x v="3"/>
    <x v="2"/>
  </r>
  <r>
    <x v="4"/>
    <n v="1078"/>
    <x v="1"/>
    <x v="1"/>
    <x v="1"/>
    <n v="16.3"/>
    <n v="4.9000000000000004"/>
    <x v="1"/>
    <s v="Juan"/>
    <x v="1"/>
    <x v="4"/>
  </r>
  <r>
    <x v="5"/>
    <n v="1079"/>
    <x v="1"/>
    <x v="1"/>
    <x v="1"/>
    <n v="16.3"/>
    <n v="4.9000000000000004"/>
    <x v="1"/>
    <s v="Juan"/>
    <x v="1"/>
    <x v="0"/>
  </r>
  <r>
    <x v="5"/>
    <n v="1080"/>
    <x v="5"/>
    <x v="5"/>
    <x v="5"/>
    <n v="87"/>
    <n v="42"/>
    <x v="5"/>
    <s v="Doug"/>
    <x v="2"/>
    <x v="1"/>
  </r>
  <r>
    <x v="5"/>
    <n v="1081"/>
    <x v="8"/>
    <x v="8"/>
    <x v="8"/>
    <n v="14"/>
    <n v="5"/>
    <x v="4"/>
    <s v="Doug"/>
    <x v="2"/>
    <x v="5"/>
  </r>
  <r>
    <x v="5"/>
    <n v="1082"/>
    <x v="4"/>
    <x v="4"/>
    <x v="4"/>
    <n v="8"/>
    <n v="5"/>
    <x v="4"/>
    <s v="Chalie"/>
    <x v="0"/>
    <x v="1"/>
  </r>
  <r>
    <x v="5"/>
    <n v="1083"/>
    <x v="4"/>
    <x v="4"/>
    <x v="4"/>
    <n v="8"/>
    <n v="5"/>
    <x v="4"/>
    <s v="Chalie"/>
    <x v="0"/>
    <x v="4"/>
  </r>
  <r>
    <x v="5"/>
    <n v="1084"/>
    <x v="8"/>
    <x v="8"/>
    <x v="8"/>
    <n v="14"/>
    <n v="5"/>
    <x v="4"/>
    <s v="Chalie"/>
    <x v="0"/>
    <x v="2"/>
  </r>
  <r>
    <x v="5"/>
    <n v="1085"/>
    <x v="0"/>
    <x v="0"/>
    <x v="0"/>
    <n v="98.4"/>
    <n v="40.100000000000009"/>
    <x v="0"/>
    <s v="Doug"/>
    <x v="2"/>
    <x v="4"/>
  </r>
  <r>
    <x v="5"/>
    <n v="1086"/>
    <x v="4"/>
    <x v="4"/>
    <x v="4"/>
    <n v="8"/>
    <n v="5"/>
    <x v="4"/>
    <s v="Hellen"/>
    <x v="3"/>
    <x v="2"/>
  </r>
  <r>
    <x v="5"/>
    <n v="1087"/>
    <x v="2"/>
    <x v="2"/>
    <x v="2"/>
    <n v="9.1999999999999993"/>
    <n v="2.9999999999999991"/>
    <x v="2"/>
    <s v="Chalie"/>
    <x v="0"/>
    <x v="1"/>
  </r>
  <r>
    <x v="5"/>
    <n v="1088"/>
    <x v="2"/>
    <x v="2"/>
    <x v="2"/>
    <n v="9.1999999999999993"/>
    <n v="2.9999999999999991"/>
    <x v="2"/>
    <s v="Chalie"/>
    <x v="0"/>
    <x v="0"/>
  </r>
  <r>
    <x v="5"/>
    <n v="1089"/>
    <x v="8"/>
    <x v="8"/>
    <x v="8"/>
    <n v="14"/>
    <n v="5"/>
    <x v="4"/>
    <s v="Doug"/>
    <x v="2"/>
    <x v="4"/>
  </r>
  <r>
    <x v="5"/>
    <n v="1090"/>
    <x v="1"/>
    <x v="1"/>
    <x v="1"/>
    <n v="16.3"/>
    <n v="4.9000000000000004"/>
    <x v="1"/>
    <s v="Chalie"/>
    <x v="0"/>
    <x v="1"/>
  </r>
  <r>
    <x v="5"/>
    <n v="1091"/>
    <x v="1"/>
    <x v="1"/>
    <x v="1"/>
    <n v="16.3"/>
    <n v="4.9000000000000004"/>
    <x v="1"/>
    <s v="Hellen"/>
    <x v="3"/>
    <x v="4"/>
  </r>
  <r>
    <x v="5"/>
    <n v="1092"/>
    <x v="1"/>
    <x v="1"/>
    <x v="1"/>
    <n v="16.3"/>
    <n v="4.9000000000000004"/>
    <x v="1"/>
    <s v="Doug"/>
    <x v="2"/>
    <x v="1"/>
  </r>
  <r>
    <x v="5"/>
    <n v="1093"/>
    <x v="8"/>
    <x v="8"/>
    <x v="8"/>
    <n v="14"/>
    <n v="5"/>
    <x v="4"/>
    <s v="Juan"/>
    <x v="1"/>
    <x v="2"/>
  </r>
  <r>
    <x v="5"/>
    <n v="1094"/>
    <x v="8"/>
    <x v="8"/>
    <x v="8"/>
    <n v="14"/>
    <n v="5"/>
    <x v="4"/>
    <s v="Doug"/>
    <x v="2"/>
    <x v="1"/>
  </r>
  <r>
    <x v="5"/>
    <n v="1095"/>
    <x v="2"/>
    <x v="2"/>
    <x v="2"/>
    <n v="9.1999999999999993"/>
    <n v="2.9999999999999991"/>
    <x v="2"/>
    <s v="Hellen"/>
    <x v="3"/>
    <x v="2"/>
  </r>
  <r>
    <x v="5"/>
    <n v="1096"/>
    <x v="8"/>
    <x v="8"/>
    <x v="8"/>
    <n v="14"/>
    <n v="5"/>
    <x v="4"/>
    <s v="Doug"/>
    <x v="2"/>
    <x v="2"/>
  </r>
  <r>
    <x v="5"/>
    <n v="1097"/>
    <x v="6"/>
    <x v="6"/>
    <x v="6"/>
    <n v="7"/>
    <n v="3"/>
    <x v="6"/>
    <s v="Hellen"/>
    <x v="3"/>
    <x v="4"/>
  </r>
  <r>
    <x v="5"/>
    <n v="1098"/>
    <x v="1"/>
    <x v="1"/>
    <x v="1"/>
    <n v="16.3"/>
    <n v="4.9000000000000004"/>
    <x v="1"/>
    <s v="Juan"/>
    <x v="1"/>
    <x v="0"/>
  </r>
  <r>
    <x v="6"/>
    <n v="1099"/>
    <x v="1"/>
    <x v="1"/>
    <x v="1"/>
    <n v="16.3"/>
    <n v="4.9000000000000004"/>
    <x v="1"/>
    <s v="Doug"/>
    <x v="2"/>
    <x v="1"/>
  </r>
  <r>
    <x v="6"/>
    <n v="1100"/>
    <x v="8"/>
    <x v="8"/>
    <x v="8"/>
    <n v="14"/>
    <n v="5"/>
    <x v="4"/>
    <s v="Chalie"/>
    <x v="0"/>
    <x v="5"/>
  </r>
  <r>
    <x v="6"/>
    <n v="1101"/>
    <x v="2"/>
    <x v="2"/>
    <x v="2"/>
    <n v="9.1999999999999993"/>
    <n v="2.9999999999999991"/>
    <x v="2"/>
    <s v="Doug"/>
    <x v="2"/>
    <x v="1"/>
  </r>
  <r>
    <x v="6"/>
    <n v="1102"/>
    <x v="7"/>
    <x v="7"/>
    <x v="7"/>
    <n v="124"/>
    <n v="64"/>
    <x v="7"/>
    <s v="Juan"/>
    <x v="1"/>
    <x v="4"/>
  </r>
  <r>
    <x v="6"/>
    <n v="1103"/>
    <x v="1"/>
    <x v="1"/>
    <x v="1"/>
    <n v="16.3"/>
    <n v="4.9000000000000004"/>
    <x v="1"/>
    <s v="Juan"/>
    <x v="1"/>
    <x v="2"/>
  </r>
  <r>
    <x v="6"/>
    <n v="1104"/>
    <x v="1"/>
    <x v="1"/>
    <x v="1"/>
    <n v="16.3"/>
    <n v="4.9000000000000004"/>
    <x v="1"/>
    <s v="Doug"/>
    <x v="2"/>
    <x v="4"/>
  </r>
  <r>
    <x v="6"/>
    <n v="1105"/>
    <x v="2"/>
    <x v="2"/>
    <x v="2"/>
    <n v="9.1999999999999993"/>
    <n v="2.9999999999999991"/>
    <x v="2"/>
    <s v="Juan"/>
    <x v="1"/>
    <x v="2"/>
  </r>
  <r>
    <x v="6"/>
    <n v="1106"/>
    <x v="0"/>
    <x v="0"/>
    <x v="0"/>
    <n v="98.4"/>
    <n v="40.100000000000009"/>
    <x v="0"/>
    <s v="Juan"/>
    <x v="1"/>
    <x v="1"/>
  </r>
  <r>
    <x v="6"/>
    <n v="1107"/>
    <x v="4"/>
    <x v="4"/>
    <x v="4"/>
    <n v="8"/>
    <n v="5"/>
    <x v="4"/>
    <s v="Hellen"/>
    <x v="3"/>
    <x v="0"/>
  </r>
  <r>
    <x v="6"/>
    <n v="1108"/>
    <x v="0"/>
    <x v="0"/>
    <x v="0"/>
    <n v="98.4"/>
    <n v="40.100000000000009"/>
    <x v="0"/>
    <s v="Doug"/>
    <x v="2"/>
    <x v="4"/>
  </r>
  <r>
    <x v="6"/>
    <n v="1109"/>
    <x v="3"/>
    <x v="3"/>
    <x v="3"/>
    <n v="502"/>
    <n v="158"/>
    <x v="3"/>
    <s v="Juan"/>
    <x v="1"/>
    <x v="1"/>
  </r>
  <r>
    <x v="6"/>
    <n v="1110"/>
    <x v="3"/>
    <x v="3"/>
    <x v="3"/>
    <n v="502"/>
    <n v="158"/>
    <x v="3"/>
    <s v="Hellen"/>
    <x v="3"/>
    <x v="4"/>
  </r>
  <r>
    <x v="6"/>
    <n v="1111"/>
    <x v="9"/>
    <x v="9"/>
    <x v="9"/>
    <n v="77"/>
    <n v="35"/>
    <x v="8"/>
    <s v="Hellen"/>
    <x v="3"/>
    <x v="1"/>
  </r>
  <r>
    <x v="6"/>
    <n v="1112"/>
    <x v="9"/>
    <x v="9"/>
    <x v="9"/>
    <n v="77"/>
    <n v="35"/>
    <x v="8"/>
    <s v="Doug"/>
    <x v="2"/>
    <x v="2"/>
  </r>
  <r>
    <x v="6"/>
    <n v="1113"/>
    <x v="0"/>
    <x v="0"/>
    <x v="0"/>
    <n v="98.4"/>
    <n v="40.100000000000009"/>
    <x v="0"/>
    <s v="Chalie"/>
    <x v="0"/>
    <x v="1"/>
  </r>
  <r>
    <x v="6"/>
    <n v="1114"/>
    <x v="7"/>
    <x v="7"/>
    <x v="7"/>
    <n v="124"/>
    <n v="64"/>
    <x v="7"/>
    <s v="Juan"/>
    <x v="1"/>
    <x v="2"/>
  </r>
  <r>
    <x v="6"/>
    <n v="1115"/>
    <x v="3"/>
    <x v="3"/>
    <x v="3"/>
    <n v="502"/>
    <n v="158"/>
    <x v="3"/>
    <s v="Chalie"/>
    <x v="0"/>
    <x v="2"/>
  </r>
  <r>
    <x v="6"/>
    <n v="1116"/>
    <x v="9"/>
    <x v="9"/>
    <x v="9"/>
    <n v="77"/>
    <n v="35"/>
    <x v="8"/>
    <s v="Doug"/>
    <x v="2"/>
    <x v="4"/>
  </r>
  <r>
    <x v="6"/>
    <n v="1117"/>
    <x v="3"/>
    <x v="3"/>
    <x v="3"/>
    <n v="502"/>
    <n v="158"/>
    <x v="3"/>
    <s v="Hellen"/>
    <x v="3"/>
    <x v="0"/>
  </r>
  <r>
    <x v="6"/>
    <n v="1118"/>
    <x v="0"/>
    <x v="0"/>
    <x v="0"/>
    <n v="98.4"/>
    <n v="40.100000000000009"/>
    <x v="0"/>
    <s v="Juan"/>
    <x v="1"/>
    <x v="1"/>
  </r>
  <r>
    <x v="6"/>
    <n v="1119"/>
    <x v="7"/>
    <x v="7"/>
    <x v="7"/>
    <n v="124"/>
    <n v="64"/>
    <x v="7"/>
    <s v="Chalie"/>
    <x v="0"/>
    <x v="5"/>
  </r>
  <r>
    <x v="6"/>
    <n v="1120"/>
    <x v="7"/>
    <x v="7"/>
    <x v="7"/>
    <n v="124"/>
    <n v="64"/>
    <x v="7"/>
    <s v="Doug"/>
    <x v="2"/>
    <x v="1"/>
  </r>
  <r>
    <x v="6"/>
    <n v="1121"/>
    <x v="5"/>
    <x v="5"/>
    <x v="5"/>
    <n v="87"/>
    <n v="42"/>
    <x v="5"/>
    <s v="Doug"/>
    <x v="2"/>
    <x v="4"/>
  </r>
  <r>
    <x v="6"/>
    <n v="1122"/>
    <x v="3"/>
    <x v="3"/>
    <x v="3"/>
    <n v="502"/>
    <n v="158"/>
    <x v="3"/>
    <s v="Doug"/>
    <x v="2"/>
    <x v="2"/>
  </r>
  <r>
    <x v="6"/>
    <n v="1123"/>
    <x v="0"/>
    <x v="0"/>
    <x v="0"/>
    <n v="98.4"/>
    <n v="40.100000000000009"/>
    <x v="0"/>
    <s v="Doug"/>
    <x v="2"/>
    <x v="4"/>
  </r>
  <r>
    <x v="6"/>
    <n v="1124"/>
    <x v="5"/>
    <x v="5"/>
    <x v="5"/>
    <n v="87"/>
    <n v="42"/>
    <x v="5"/>
    <s v="Doug"/>
    <x v="2"/>
    <x v="2"/>
  </r>
  <r>
    <x v="7"/>
    <n v="1125"/>
    <x v="7"/>
    <x v="7"/>
    <x v="7"/>
    <n v="124"/>
    <n v="64"/>
    <x v="7"/>
    <s v="Doug"/>
    <x v="2"/>
    <x v="1"/>
  </r>
  <r>
    <x v="7"/>
    <n v="1126"/>
    <x v="6"/>
    <x v="6"/>
    <x v="6"/>
    <n v="7"/>
    <n v="3"/>
    <x v="6"/>
    <s v="Doug"/>
    <x v="2"/>
    <x v="0"/>
  </r>
  <r>
    <x v="7"/>
    <n v="1127"/>
    <x v="3"/>
    <x v="3"/>
    <x v="3"/>
    <n v="502"/>
    <n v="158"/>
    <x v="3"/>
    <s v="Chalie"/>
    <x v="0"/>
    <x v="4"/>
  </r>
  <r>
    <x v="7"/>
    <n v="1128"/>
    <x v="9"/>
    <x v="9"/>
    <x v="9"/>
    <n v="77"/>
    <n v="35"/>
    <x v="8"/>
    <s v="Juan"/>
    <x v="1"/>
    <x v="1"/>
  </r>
  <r>
    <x v="7"/>
    <n v="1129"/>
    <x v="0"/>
    <x v="0"/>
    <x v="0"/>
    <n v="98.4"/>
    <n v="40.100000000000009"/>
    <x v="0"/>
    <s v="Hellen"/>
    <x v="3"/>
    <x v="4"/>
  </r>
  <r>
    <x v="7"/>
    <n v="1130"/>
    <x v="5"/>
    <x v="5"/>
    <x v="5"/>
    <n v="87"/>
    <n v="42"/>
    <x v="5"/>
    <s v="Hellen"/>
    <x v="3"/>
    <x v="1"/>
  </r>
  <r>
    <x v="7"/>
    <n v="1131"/>
    <x v="6"/>
    <x v="6"/>
    <x v="6"/>
    <n v="7"/>
    <n v="3"/>
    <x v="6"/>
    <s v="Hellen"/>
    <x v="3"/>
    <x v="2"/>
  </r>
  <r>
    <x v="7"/>
    <n v="1132"/>
    <x v="6"/>
    <x v="6"/>
    <x v="6"/>
    <n v="7"/>
    <n v="3"/>
    <x v="6"/>
    <s v="Hellen"/>
    <x v="3"/>
    <x v="1"/>
  </r>
  <r>
    <x v="7"/>
    <n v="1133"/>
    <x v="0"/>
    <x v="0"/>
    <x v="0"/>
    <n v="98.4"/>
    <n v="40.100000000000009"/>
    <x v="0"/>
    <s v="Chalie"/>
    <x v="0"/>
    <x v="2"/>
  </r>
  <r>
    <x v="7"/>
    <n v="1134"/>
    <x v="0"/>
    <x v="0"/>
    <x v="0"/>
    <n v="98.4"/>
    <n v="40.100000000000009"/>
    <x v="0"/>
    <s v="Doug"/>
    <x v="2"/>
    <x v="2"/>
  </r>
  <r>
    <x v="7"/>
    <n v="1135"/>
    <x v="3"/>
    <x v="3"/>
    <x v="3"/>
    <n v="502"/>
    <n v="158"/>
    <x v="3"/>
    <s v="Chalie"/>
    <x v="0"/>
    <x v="4"/>
  </r>
  <r>
    <x v="7"/>
    <n v="1136"/>
    <x v="7"/>
    <x v="7"/>
    <x v="7"/>
    <n v="124"/>
    <n v="64"/>
    <x v="7"/>
    <s v="Doug"/>
    <x v="2"/>
    <x v="0"/>
  </r>
  <r>
    <x v="7"/>
    <n v="1137"/>
    <x v="0"/>
    <x v="0"/>
    <x v="0"/>
    <n v="98.4"/>
    <n v="40.100000000000009"/>
    <x v="0"/>
    <s v="Juan"/>
    <x v="1"/>
    <x v="1"/>
  </r>
  <r>
    <x v="7"/>
    <n v="1138"/>
    <x v="3"/>
    <x v="3"/>
    <x v="3"/>
    <n v="502"/>
    <n v="158"/>
    <x v="3"/>
    <s v="Chalie"/>
    <x v="0"/>
    <x v="5"/>
  </r>
  <r>
    <x v="7"/>
    <n v="1139"/>
    <x v="5"/>
    <x v="5"/>
    <x v="5"/>
    <n v="87"/>
    <n v="42"/>
    <x v="5"/>
    <s v="Doug"/>
    <x v="2"/>
    <x v="1"/>
  </r>
  <r>
    <x v="7"/>
    <n v="1140"/>
    <x v="5"/>
    <x v="5"/>
    <x v="5"/>
    <n v="87"/>
    <n v="42"/>
    <x v="5"/>
    <s v="Juan"/>
    <x v="1"/>
    <x v="4"/>
  </r>
  <r>
    <x v="7"/>
    <n v="1141"/>
    <x v="6"/>
    <x v="6"/>
    <x v="6"/>
    <n v="7"/>
    <n v="3"/>
    <x v="6"/>
    <s v="Juan"/>
    <x v="1"/>
    <x v="2"/>
  </r>
  <r>
    <x v="8"/>
    <n v="1142"/>
    <x v="7"/>
    <x v="7"/>
    <x v="7"/>
    <n v="124"/>
    <n v="64"/>
    <x v="7"/>
    <s v="Juan"/>
    <x v="1"/>
    <x v="4"/>
  </r>
  <r>
    <x v="8"/>
    <n v="1143"/>
    <x v="0"/>
    <x v="0"/>
    <x v="0"/>
    <n v="98.4"/>
    <n v="40.100000000000009"/>
    <x v="0"/>
    <s v="Hellen"/>
    <x v="3"/>
    <x v="2"/>
  </r>
  <r>
    <x v="8"/>
    <n v="1144"/>
    <x v="7"/>
    <x v="7"/>
    <x v="7"/>
    <n v="124"/>
    <n v="64"/>
    <x v="7"/>
    <s v="Hellen"/>
    <x v="3"/>
    <x v="1"/>
  </r>
  <r>
    <x v="8"/>
    <n v="1145"/>
    <x v="5"/>
    <x v="5"/>
    <x v="5"/>
    <n v="87"/>
    <n v="42"/>
    <x v="5"/>
    <s v="Hellen"/>
    <x v="3"/>
    <x v="0"/>
  </r>
  <r>
    <x v="8"/>
    <n v="1146"/>
    <x v="3"/>
    <x v="3"/>
    <x v="3"/>
    <n v="502"/>
    <n v="158"/>
    <x v="3"/>
    <s v="Hellen"/>
    <x v="3"/>
    <x v="4"/>
  </r>
  <r>
    <x v="8"/>
    <n v="1147"/>
    <x v="0"/>
    <x v="0"/>
    <x v="0"/>
    <n v="98.4"/>
    <n v="40.100000000000009"/>
    <x v="0"/>
    <s v="Chalie"/>
    <x v="0"/>
    <x v="1"/>
  </r>
  <r>
    <x v="8"/>
    <n v="1148"/>
    <x v="6"/>
    <x v="6"/>
    <x v="6"/>
    <n v="7"/>
    <n v="3"/>
    <x v="6"/>
    <s v="Doug"/>
    <x v="2"/>
    <x v="2"/>
  </r>
  <r>
    <x v="8"/>
    <n v="1149"/>
    <x v="3"/>
    <x v="3"/>
    <x v="3"/>
    <n v="502"/>
    <n v="158"/>
    <x v="3"/>
    <s v="Chalie"/>
    <x v="0"/>
    <x v="2"/>
  </r>
  <r>
    <x v="9"/>
    <n v="1150"/>
    <x v="7"/>
    <x v="7"/>
    <x v="7"/>
    <n v="124"/>
    <n v="64"/>
    <x v="7"/>
    <s v="Doug"/>
    <x v="2"/>
    <x v="5"/>
  </r>
  <r>
    <x v="9"/>
    <n v="1151"/>
    <x v="7"/>
    <x v="7"/>
    <x v="7"/>
    <n v="124"/>
    <n v="64"/>
    <x v="7"/>
    <s v="Juan"/>
    <x v="1"/>
    <x v="1"/>
  </r>
  <r>
    <x v="9"/>
    <n v="1152"/>
    <x v="5"/>
    <x v="5"/>
    <x v="5"/>
    <n v="87"/>
    <n v="42"/>
    <x v="5"/>
    <s v="Chalie"/>
    <x v="0"/>
    <x v="4"/>
  </r>
  <r>
    <x v="9"/>
    <n v="1153"/>
    <x v="3"/>
    <x v="3"/>
    <x v="3"/>
    <n v="502"/>
    <n v="158"/>
    <x v="3"/>
    <s v="Doug"/>
    <x v="2"/>
    <x v="2"/>
  </r>
  <r>
    <x v="9"/>
    <n v="1154"/>
    <x v="0"/>
    <x v="0"/>
    <x v="0"/>
    <n v="98.4"/>
    <n v="40.100000000000009"/>
    <x v="0"/>
    <s v="Juan"/>
    <x v="1"/>
    <x v="4"/>
  </r>
  <r>
    <x v="9"/>
    <n v="1155"/>
    <x v="5"/>
    <x v="5"/>
    <x v="5"/>
    <n v="87"/>
    <n v="42"/>
    <x v="5"/>
    <s v="Doug"/>
    <x v="2"/>
    <x v="2"/>
  </r>
  <r>
    <x v="9"/>
    <n v="1156"/>
    <x v="7"/>
    <x v="7"/>
    <x v="7"/>
    <n v="124"/>
    <n v="64"/>
    <x v="7"/>
    <s v="Doug"/>
    <x v="2"/>
    <x v="1"/>
  </r>
  <r>
    <x v="9"/>
    <n v="1157"/>
    <x v="6"/>
    <x v="6"/>
    <x v="6"/>
    <n v="7"/>
    <n v="3"/>
    <x v="6"/>
    <s v="Doug"/>
    <x v="2"/>
    <x v="0"/>
  </r>
  <r>
    <x v="10"/>
    <n v="1158"/>
    <x v="3"/>
    <x v="3"/>
    <x v="3"/>
    <n v="502"/>
    <n v="158"/>
    <x v="3"/>
    <s v="Chalie"/>
    <x v="0"/>
    <x v="4"/>
  </r>
  <r>
    <x v="10"/>
    <n v="1159"/>
    <x v="9"/>
    <x v="9"/>
    <x v="9"/>
    <n v="77"/>
    <n v="35"/>
    <x v="8"/>
    <s v="Doug"/>
    <x v="2"/>
    <x v="1"/>
  </r>
  <r>
    <x v="10"/>
    <n v="1160"/>
    <x v="0"/>
    <x v="0"/>
    <x v="0"/>
    <n v="98.4"/>
    <n v="40.100000000000009"/>
    <x v="0"/>
    <s v="Hellen"/>
    <x v="3"/>
    <x v="4"/>
  </r>
  <r>
    <x v="10"/>
    <n v="1161"/>
    <x v="5"/>
    <x v="5"/>
    <x v="5"/>
    <n v="87"/>
    <n v="42"/>
    <x v="5"/>
    <s v="Juan"/>
    <x v="1"/>
    <x v="1"/>
  </r>
  <r>
    <x v="10"/>
    <n v="1162"/>
    <x v="6"/>
    <x v="6"/>
    <x v="6"/>
    <n v="7"/>
    <n v="3"/>
    <x v="6"/>
    <s v="Chalie"/>
    <x v="0"/>
    <x v="2"/>
  </r>
  <r>
    <x v="10"/>
    <n v="1163"/>
    <x v="6"/>
    <x v="6"/>
    <x v="6"/>
    <n v="7"/>
    <n v="3"/>
    <x v="6"/>
    <s v="Doug"/>
    <x v="2"/>
    <x v="1"/>
  </r>
  <r>
    <x v="10"/>
    <n v="1164"/>
    <x v="0"/>
    <x v="0"/>
    <x v="0"/>
    <n v="98.4"/>
    <n v="40.100000000000009"/>
    <x v="0"/>
    <s v="Doug"/>
    <x v="2"/>
    <x v="2"/>
  </r>
  <r>
    <x v="10"/>
    <n v="1165"/>
    <x v="0"/>
    <x v="0"/>
    <x v="0"/>
    <n v="98.4"/>
    <n v="40.100000000000009"/>
    <x v="0"/>
    <s v="Doug"/>
    <x v="2"/>
    <x v="2"/>
  </r>
  <r>
    <x v="10"/>
    <n v="1166"/>
    <x v="3"/>
    <x v="3"/>
    <x v="3"/>
    <n v="502"/>
    <n v="158"/>
    <x v="3"/>
    <s v="Doug"/>
    <x v="2"/>
    <x v="4"/>
  </r>
  <r>
    <x v="11"/>
    <n v="1167"/>
    <x v="7"/>
    <x v="7"/>
    <x v="7"/>
    <n v="124"/>
    <n v="64"/>
    <x v="7"/>
    <s v="Doug"/>
    <x v="2"/>
    <x v="0"/>
  </r>
  <r>
    <x v="11"/>
    <n v="1168"/>
    <x v="0"/>
    <x v="0"/>
    <x v="0"/>
    <n v="98.4"/>
    <n v="40.100000000000009"/>
    <x v="0"/>
    <s v="Doug"/>
    <x v="2"/>
    <x v="1"/>
  </r>
  <r>
    <x v="11"/>
    <n v="1169"/>
    <x v="3"/>
    <x v="3"/>
    <x v="3"/>
    <n v="502"/>
    <n v="158"/>
    <x v="3"/>
    <s v="Doug"/>
    <x v="2"/>
    <x v="5"/>
  </r>
  <r>
    <x v="11"/>
    <n v="1170"/>
    <x v="5"/>
    <x v="5"/>
    <x v="5"/>
    <n v="87"/>
    <n v="42"/>
    <x v="5"/>
    <s v="Chalie"/>
    <x v="0"/>
    <x v="1"/>
  </r>
  <r>
    <x v="11"/>
    <n v="1171"/>
    <x v="5"/>
    <x v="5"/>
    <x v="5"/>
    <n v="87"/>
    <n v="42"/>
    <x v="5"/>
    <s v="Juan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4F8A1-CD02-4532-BF06-D742A7FFFE6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5:B27" firstHeaderRow="1" firstDataRow="1" firstDataCol="1"/>
  <pivotFields count="11">
    <pivotField compact="0" outline="0" showAll="0">
      <items count="13">
        <item h="1" x="0"/>
        <item h="1" x="3"/>
        <item h="1" x="1"/>
        <item x="2"/>
        <item h="1" x="4"/>
        <item h="1" x="7"/>
        <item h="1" x="9"/>
        <item h="1" x="10"/>
        <item h="1" x="11"/>
        <item h="1" x="5"/>
        <item h="1" x="6"/>
        <item h="1" x="8"/>
        <item t="default"/>
      </items>
    </pivotField>
    <pivotField compact="0" numFmtId="3" outline="0" showAll="0"/>
    <pivotField compact="0" outline="0" showAll="0"/>
    <pivotField compact="0" outline="0" showAll="0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</pivotField>
    <pivotField compact="0" numFmtId="164" outline="0" showAll="0">
      <items count="11">
        <item x="4"/>
        <item x="6"/>
        <item x="2"/>
        <item x="8"/>
        <item x="1"/>
        <item x="9"/>
        <item x="5"/>
        <item x="0"/>
        <item x="7"/>
        <item x="3"/>
        <item t="default"/>
      </items>
    </pivotField>
    <pivotField compact="0" numFmtId="164" outline="0" showAll="0"/>
    <pivotField compact="0" numFmtId="164" outline="0" showAll="0"/>
    <pivotField dataField="1" compact="0" numFmtId="164" outline="0" showAll="0">
      <items count="10">
        <item x="2"/>
        <item x="6"/>
        <item x="1"/>
        <item x="4"/>
        <item x="8"/>
        <item x="0"/>
        <item x="5"/>
        <item x="7"/>
        <item x="3"/>
        <item t="default"/>
      </items>
    </pivotField>
    <pivotField compact="0" outline="0" showAll="0"/>
    <pivotField axis="axisRow" compact="0" outline="0" showAll="0">
      <items count="5">
        <item h="1" x="0"/>
        <item h="1" x="1"/>
        <item h="1" x="3"/>
        <item x="2"/>
        <item t="default"/>
      </items>
    </pivotField>
    <pivotField compact="0" outline="0" showAll="0">
      <items count="7">
        <item h="1" x="2"/>
        <item x="1"/>
        <item h="1" x="3"/>
        <item h="1" x="0"/>
        <item h="1" x="4"/>
        <item h="1" x="5"/>
        <item t="default"/>
      </items>
    </pivotField>
  </pivotFields>
  <rowFields count="1">
    <field x="9"/>
  </rowFields>
  <rowItems count="2">
    <i>
      <x v="3"/>
    </i>
    <i t="grand">
      <x/>
    </i>
  </rowItems>
  <colItems count="1">
    <i/>
  </colItems>
  <dataFields count="1">
    <dataField name="Average of Commision 10% for items less than  $50. 20% for items more than $50" fld="7" subtotal="average" baseField="0" baseItem="0" numFmtId="164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1B1A3-D914-412D-8058-8FAB130B6DD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5:D7" firstHeaderRow="0" firstDataRow="1" firstDataCol="1"/>
  <pivotFields count="11">
    <pivotField compact="0" outline="0" showAll="0">
      <items count="13">
        <item h="1" x="0"/>
        <item h="1" x="3"/>
        <item h="1" x="1"/>
        <item x="2"/>
        <item h="1" x="4"/>
        <item h="1" x="7"/>
        <item h="1" x="9"/>
        <item h="1" x="10"/>
        <item h="1" x="11"/>
        <item h="1" x="5"/>
        <item h="1" x="6"/>
        <item h="1" x="8"/>
        <item t="default"/>
      </items>
    </pivotField>
    <pivotField compact="0" numFmtId="3" outline="0" showAll="0"/>
    <pivotField compact="0" outline="0" showAll="0"/>
    <pivotField compact="0" outline="0" showAll="0"/>
    <pivotField dataField="1" compact="0" numFmtId="164" outline="0" showAll="0">
      <items count="11">
        <item x="4"/>
        <item x="6"/>
        <item x="2"/>
        <item x="8"/>
        <item x="1"/>
        <item x="9"/>
        <item x="5"/>
        <item x="0"/>
        <item x="7"/>
        <item x="3"/>
        <item t="default"/>
      </items>
    </pivotField>
    <pivotField dataField="1" compact="0" numFmtId="164" outline="0" showAll="0"/>
    <pivotField dataField="1" compact="0" numFmtId="164" outline="0" showAll="0"/>
    <pivotField compact="0" numFmtId="164" outline="0" showAll="0">
      <items count="10">
        <item x="2"/>
        <item x="6"/>
        <item x="1"/>
        <item x="4"/>
        <item x="8"/>
        <item x="0"/>
        <item x="5"/>
        <item x="7"/>
        <item x="3"/>
        <item t="default"/>
      </items>
    </pivotField>
    <pivotField compact="0" outline="0" showAll="0"/>
    <pivotField axis="axisRow" compact="0" outline="0" showAll="0">
      <items count="5">
        <item h="1" x="0"/>
        <item h="1" x="1"/>
        <item h="1" x="3"/>
        <item x="2"/>
        <item t="default"/>
      </items>
    </pivotField>
    <pivotField compact="0" outline="0" showAll="0">
      <items count="7">
        <item h="1" x="2"/>
        <item x="1"/>
        <item h="1" x="3"/>
        <item h="1" x="0"/>
        <item h="1" x="4"/>
        <item h="1" x="5"/>
        <item t="default"/>
      </items>
    </pivotField>
  </pivotFields>
  <rowFields count="1">
    <field x="9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e Price" fld="5" subtotal="average" baseField="0" baseItem="0" numFmtId="164"/>
    <dataField name="Average of Profit" fld="6" subtotal="average" baseField="0" baseItem="0" numFmtId="164"/>
    <dataField name="Average of Store Cost" fld="4" subtotal="average" baseField="0" baseItem="0" numFmtId="164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F9790-BEB3-443C-9E4C-678CAF98D75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7:D49" firstHeaderRow="0" firstDataRow="1" firstDataCol="1"/>
  <pivotFields count="11">
    <pivotField axis="axisRow" compact="0" outline="0" showAll="0">
      <items count="13">
        <item h="1" x="0"/>
        <item h="1" x="3"/>
        <item h="1" x="1"/>
        <item x="2"/>
        <item h="1" x="4"/>
        <item h="1" x="7"/>
        <item h="1" x="9"/>
        <item h="1" x="10"/>
        <item h="1" x="11"/>
        <item h="1" x="5"/>
        <item h="1" x="6"/>
        <item h="1" x="8"/>
        <item t="default"/>
      </items>
    </pivotField>
    <pivotField compact="0" numFmtId="3" outline="0" showAll="0"/>
    <pivotField compact="0" outline="0" showAll="0">
      <items count="11">
        <item x="4"/>
        <item x="7"/>
        <item x="2"/>
        <item x="1"/>
        <item x="5"/>
        <item x="8"/>
        <item x="9"/>
        <item x="3"/>
        <item x="6"/>
        <item x="0"/>
        <item t="default"/>
      </items>
    </pivotField>
    <pivotField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>
      <items count="5">
        <item h="1" x="0"/>
        <item h="1" x="1"/>
        <item h="1" x="3"/>
        <item x="2"/>
        <item t="default"/>
      </items>
    </pivotField>
    <pivotField compact="0" outline="0" showAll="0">
      <items count="7">
        <item h="1" x="2"/>
        <item x="1"/>
        <item h="1" x="3"/>
        <item h="1" x="0"/>
        <item h="1" x="4"/>
        <item h="1" x="5"/>
        <item t="default"/>
      </items>
    </pivotField>
  </pivotFields>
  <rowFields count="1">
    <field x="0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tore Cost" fld="4" subtotal="average" baseField="0" baseItem="0" numFmtId="164"/>
    <dataField name="Average of Sale Price" fld="5" subtotal="average" baseField="0" baseItem="0" numFmtId="164"/>
    <dataField name="Average of Profit" fld="6" subtotal="average" baseField="0" baseItem="0" numFmtId="164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EF9D3740-6D27-4E98-B6F2-4223E6EBEAE0}" sourceName="Month">
  <pivotTables>
    <pivotTable tabId="24" name="PivotTable3"/>
    <pivotTable tabId="24" name="PivotTable4"/>
    <pivotTable tabId="24" name="PivotTable5"/>
  </pivotTables>
  <data>
    <tabular pivotCacheId="1789867546">
      <items count="12">
        <i x="3"/>
        <i x="0"/>
        <i x="1"/>
        <i x="2" s="1"/>
        <i x="4"/>
        <i x="7"/>
        <i x="10"/>
        <i x="5"/>
        <i x="9"/>
        <i x="6"/>
        <i x="11"/>
        <i x="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_Location" xr10:uid="{31741161-5423-49A0-822E-1156EEDBBEA8}" sourceName="Sale Location">
  <pivotTables>
    <pivotTable tabId="24" name="PivotTable4"/>
    <pivotTable tabId="24" name="PivotTable5"/>
    <pivotTable tabId="24" name="PivotTable3"/>
  </pivotTables>
  <data>
    <tabular pivotCacheId="1789867546">
      <items count="6">
        <i x="1" s="1"/>
        <i x="0"/>
        <i x="2" nd="1"/>
        <i x="3" nd="1"/>
        <i x="4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ast_Name" xr10:uid="{8054AF78-2817-484D-A32D-70A00AC9D07D}" sourceName="Last Name">
  <pivotTables>
    <pivotTable tabId="24" name="PivotTable4"/>
    <pivotTable tabId="24" name="PivotTable5"/>
    <pivotTable tabId="24" name="PivotTable3"/>
  </pivotTables>
  <data>
    <tabular pivotCacheId="1789867546">
      <items count="4">
        <i x="1"/>
        <i x="3"/>
        <i x="2" s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52746DAB-6644-42A9-87C8-C77431F1021E}" cache="Slicer_Month" caption="Month" rowHeight="228600"/>
  <slicer name="Sale Location" xr10:uid="{8F4A5D48-8A6B-4359-95A3-DB5A78037F5A}" cache="Slicer_Sale_Location" caption="Sale Location" startItem="3" rowHeight="228600"/>
  <slicer name="Last Name" xr10:uid="{57BA273F-51CF-4F59-999C-C696551253A2}" cache="Slicer_Last_Name" caption="Last Nam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16B1-C022-4B32-83A2-D9FA1EA01780}">
  <dimension ref="A1:AD27"/>
  <sheetViews>
    <sheetView topLeftCell="C17" workbookViewId="0">
      <selection activeCell="C17" sqref="C17"/>
    </sheetView>
  </sheetViews>
  <sheetFormatPr defaultRowHeight="14.5"/>
  <cols>
    <col min="1" max="1" width="15.1796875" bestFit="1" customWidth="1"/>
    <col min="2" max="2" width="10.1796875" bestFit="1" customWidth="1"/>
    <col min="3" max="3" width="11.7265625" bestFit="1" customWidth="1"/>
    <col min="4" max="4" width="12.7265625" bestFit="1" customWidth="1"/>
    <col min="5" max="8" width="12.7265625" customWidth="1"/>
    <col min="9" max="13" width="17.453125" customWidth="1"/>
    <col min="14" max="14" width="10.7265625" bestFit="1" customWidth="1"/>
    <col min="15" max="18" width="10.7265625" customWidth="1"/>
    <col min="19" max="19" width="14.54296875" bestFit="1" customWidth="1"/>
    <col min="20" max="23" width="14.54296875" customWidth="1"/>
    <col min="24" max="24" width="12.26953125" customWidth="1"/>
    <col min="25" max="25" width="11.453125" customWidth="1"/>
    <col min="26" max="26" width="11.81640625" customWidth="1"/>
    <col min="27" max="27" width="10.54296875" customWidth="1"/>
    <col min="28" max="28" width="11.26953125" customWidth="1"/>
    <col min="30" max="30" width="10.26953125" customWidth="1"/>
  </cols>
  <sheetData>
    <row r="1" spans="1:30">
      <c r="A1" t="s">
        <v>0</v>
      </c>
      <c r="C1" t="s">
        <v>1</v>
      </c>
    </row>
    <row r="2" spans="1:30">
      <c r="A2" s="2"/>
      <c r="B2" s="2"/>
      <c r="C2" s="2"/>
      <c r="D2" s="2" t="s">
        <v>2</v>
      </c>
      <c r="E2" s="2"/>
      <c r="F2" s="2"/>
      <c r="G2" s="2"/>
      <c r="H2" s="2"/>
      <c r="I2" s="5" t="s">
        <v>3</v>
      </c>
      <c r="J2" s="5"/>
      <c r="K2" s="5"/>
      <c r="L2" s="5"/>
      <c r="M2" s="5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AD2" s="2" t="s">
        <v>7</v>
      </c>
    </row>
    <row r="3" spans="1:30">
      <c r="A3" s="2" t="s">
        <v>8</v>
      </c>
      <c r="B3" s="2" t="s">
        <v>9</v>
      </c>
      <c r="C3" s="2" t="s">
        <v>10</v>
      </c>
      <c r="D3" s="6">
        <v>45658</v>
      </c>
      <c r="E3" s="6">
        <f>D3+7</f>
        <v>45665</v>
      </c>
      <c r="F3" s="6">
        <f t="shared" ref="F3:H3" si="0">E3+7</f>
        <v>45672</v>
      </c>
      <c r="G3" s="6">
        <f t="shared" si="0"/>
        <v>45679</v>
      </c>
      <c r="H3" s="6">
        <f t="shared" si="0"/>
        <v>45686</v>
      </c>
      <c r="I3" s="8">
        <v>45658</v>
      </c>
      <c r="J3" s="8">
        <f>I3+7</f>
        <v>45665</v>
      </c>
      <c r="K3" s="8">
        <f t="shared" ref="K3:L3" si="1">J3+7</f>
        <v>45672</v>
      </c>
      <c r="L3" s="8">
        <f t="shared" si="1"/>
        <v>45679</v>
      </c>
      <c r="M3" s="8">
        <f>L3+7</f>
        <v>45686</v>
      </c>
      <c r="N3" s="10">
        <v>45658</v>
      </c>
      <c r="O3" s="10">
        <f>N3+7</f>
        <v>45665</v>
      </c>
      <c r="P3" s="10">
        <f t="shared" ref="P3:R3" si="2">O3+7</f>
        <v>45672</v>
      </c>
      <c r="Q3" s="10">
        <f t="shared" si="2"/>
        <v>45679</v>
      </c>
      <c r="R3" s="10">
        <f t="shared" si="2"/>
        <v>45686</v>
      </c>
      <c r="S3" s="12">
        <v>45658</v>
      </c>
      <c r="T3" s="12">
        <f>S3+7</f>
        <v>45665</v>
      </c>
      <c r="U3" s="12">
        <f t="shared" ref="U3:W3" si="3">T3+7</f>
        <v>45672</v>
      </c>
      <c r="V3" s="12">
        <f t="shared" si="3"/>
        <v>45679</v>
      </c>
      <c r="W3" s="12">
        <f t="shared" si="3"/>
        <v>45686</v>
      </c>
      <c r="X3" s="14">
        <v>45658</v>
      </c>
      <c r="Y3" s="14">
        <f>X3+7</f>
        <v>45665</v>
      </c>
      <c r="Z3" s="14">
        <f t="shared" ref="Z3:AB3" si="4">Y3+7</f>
        <v>45672</v>
      </c>
      <c r="AA3" s="14">
        <f t="shared" si="4"/>
        <v>45679</v>
      </c>
      <c r="AB3" s="14">
        <f t="shared" si="4"/>
        <v>45686</v>
      </c>
    </row>
    <row r="4" spans="1:30">
      <c r="A4" t="s">
        <v>11</v>
      </c>
      <c r="B4" t="s">
        <v>12</v>
      </c>
      <c r="C4" s="4">
        <v>19.899999999999999</v>
      </c>
      <c r="D4" s="7">
        <v>40</v>
      </c>
      <c r="E4" s="7">
        <v>43</v>
      </c>
      <c r="F4" s="7">
        <v>34</v>
      </c>
      <c r="G4" s="7">
        <v>40</v>
      </c>
      <c r="H4" s="7">
        <v>30</v>
      </c>
      <c r="I4" s="9">
        <f>IF(D4&gt;40,D4-40,0)</f>
        <v>0</v>
      </c>
      <c r="J4" s="9">
        <f>IF(E4&gt;40,E4-40,0)</f>
        <v>3</v>
      </c>
      <c r="K4" s="9">
        <f>IF(F4&gt;40,F4-40,0)</f>
        <v>0</v>
      </c>
      <c r="L4" s="9">
        <f>IF(G4&gt;40,G4-40,0)</f>
        <v>0</v>
      </c>
      <c r="M4" s="9">
        <f t="shared" ref="K4:M19" si="5">IF(H4&gt;40,H4-40,0)</f>
        <v>0</v>
      </c>
      <c r="N4" s="11">
        <f>$C4*D4</f>
        <v>796</v>
      </c>
      <c r="O4" s="11">
        <f>$C4*E4</f>
        <v>855.69999999999993</v>
      </c>
      <c r="P4" s="11">
        <f t="shared" ref="P4:R19" si="6">$C4*F4</f>
        <v>676.59999999999991</v>
      </c>
      <c r="Q4" s="11">
        <f t="shared" si="6"/>
        <v>796</v>
      </c>
      <c r="R4" s="11">
        <f t="shared" si="6"/>
        <v>597</v>
      </c>
      <c r="S4" s="13">
        <f>1.5*$C4*I4</f>
        <v>0</v>
      </c>
      <c r="T4" s="13">
        <f>1.5*$C4*J4</f>
        <v>89.55</v>
      </c>
      <c r="U4" s="13">
        <f t="shared" ref="U4:W19" si="7">1.5*$C4*K4</f>
        <v>0</v>
      </c>
      <c r="V4" s="13">
        <f t="shared" si="7"/>
        <v>0</v>
      </c>
      <c r="W4" s="13">
        <f t="shared" si="7"/>
        <v>0</v>
      </c>
      <c r="X4" s="15">
        <f>N4+S4</f>
        <v>796</v>
      </c>
      <c r="Y4" s="15">
        <f>O4+T4</f>
        <v>945.24999999999989</v>
      </c>
      <c r="Z4" s="15">
        <f t="shared" ref="Z4:AB19" si="8">P4+U4</f>
        <v>676.59999999999991</v>
      </c>
      <c r="AA4" s="15">
        <f t="shared" si="8"/>
        <v>796</v>
      </c>
      <c r="AB4" s="15">
        <f t="shared" si="8"/>
        <v>597</v>
      </c>
      <c r="AD4" s="4">
        <f>SUM(X4:AB4)</f>
        <v>3810.85</v>
      </c>
    </row>
    <row r="5" spans="1:30">
      <c r="A5" t="s">
        <v>13</v>
      </c>
      <c r="B5" t="s">
        <v>14</v>
      </c>
      <c r="C5" s="4">
        <v>13.8</v>
      </c>
      <c r="D5" s="7">
        <v>41</v>
      </c>
      <c r="E5" s="7">
        <v>44</v>
      </c>
      <c r="F5" s="7">
        <v>32</v>
      </c>
      <c r="G5" s="7">
        <v>35</v>
      </c>
      <c r="H5" s="7">
        <v>31</v>
      </c>
      <c r="I5" s="9">
        <f t="shared" ref="I5:J20" si="9">IF(D5&gt;40,D5-40,0)</f>
        <v>1</v>
      </c>
      <c r="J5" s="9">
        <f t="shared" si="9"/>
        <v>4</v>
      </c>
      <c r="K5" s="9">
        <f t="shared" si="5"/>
        <v>0</v>
      </c>
      <c r="L5" s="9">
        <f t="shared" si="5"/>
        <v>0</v>
      </c>
      <c r="M5" s="9">
        <f t="shared" si="5"/>
        <v>0</v>
      </c>
      <c r="N5" s="11">
        <f t="shared" ref="N5:N20" si="10">C5*D5</f>
        <v>565.80000000000007</v>
      </c>
      <c r="O5" s="11">
        <f t="shared" ref="O5:O20" si="11">$C5*E5</f>
        <v>607.20000000000005</v>
      </c>
      <c r="P5" s="11">
        <f t="shared" si="6"/>
        <v>441.6</v>
      </c>
      <c r="Q5" s="11">
        <f t="shared" si="6"/>
        <v>483</v>
      </c>
      <c r="R5" s="11">
        <f t="shared" si="6"/>
        <v>427.8</v>
      </c>
      <c r="S5" s="13">
        <f t="shared" ref="S5:S20" si="12">1.5*C5*I5</f>
        <v>20.700000000000003</v>
      </c>
      <c r="T5" s="13">
        <f t="shared" ref="T5:T20" si="13">1.5*$C5*J5</f>
        <v>82.800000000000011</v>
      </c>
      <c r="U5" s="13">
        <f t="shared" si="7"/>
        <v>0</v>
      </c>
      <c r="V5" s="13">
        <f t="shared" si="7"/>
        <v>0</v>
      </c>
      <c r="W5" s="13">
        <f t="shared" si="7"/>
        <v>0</v>
      </c>
      <c r="X5" s="15">
        <f t="shared" ref="X5:X20" si="14">N5+S5</f>
        <v>586.50000000000011</v>
      </c>
      <c r="Y5" s="15">
        <f t="shared" ref="Y5:Y20" si="15">O5+T5</f>
        <v>690</v>
      </c>
      <c r="Z5" s="15">
        <f t="shared" si="8"/>
        <v>441.6</v>
      </c>
      <c r="AA5" s="15">
        <f t="shared" si="8"/>
        <v>483</v>
      </c>
      <c r="AB5" s="15">
        <f t="shared" si="8"/>
        <v>427.8</v>
      </c>
      <c r="AD5" s="4">
        <f t="shared" ref="AD5:AD20" si="16">SUM(X5:AB5)</f>
        <v>2628.9</v>
      </c>
    </row>
    <row r="6" spans="1:30">
      <c r="A6" t="s">
        <v>15</v>
      </c>
      <c r="B6" t="s">
        <v>16</v>
      </c>
      <c r="C6" s="4">
        <v>12</v>
      </c>
      <c r="D6" s="7">
        <v>45</v>
      </c>
      <c r="E6" s="7">
        <v>37</v>
      </c>
      <c r="F6" s="7">
        <v>30</v>
      </c>
      <c r="G6" s="7">
        <v>39</v>
      </c>
      <c r="H6" s="7">
        <v>29</v>
      </c>
      <c r="I6" s="9">
        <f t="shared" si="9"/>
        <v>5</v>
      </c>
      <c r="J6" s="9">
        <f t="shared" si="9"/>
        <v>0</v>
      </c>
      <c r="K6" s="9">
        <f t="shared" si="5"/>
        <v>0</v>
      </c>
      <c r="L6" s="9">
        <f t="shared" si="5"/>
        <v>0</v>
      </c>
      <c r="M6" s="9">
        <f t="shared" si="5"/>
        <v>0</v>
      </c>
      <c r="N6" s="11">
        <f t="shared" si="10"/>
        <v>540</v>
      </c>
      <c r="O6" s="11">
        <f t="shared" si="11"/>
        <v>444</v>
      </c>
      <c r="P6" s="11">
        <f t="shared" si="6"/>
        <v>360</v>
      </c>
      <c r="Q6" s="11">
        <f t="shared" si="6"/>
        <v>468</v>
      </c>
      <c r="R6" s="11">
        <f t="shared" si="6"/>
        <v>348</v>
      </c>
      <c r="S6" s="13">
        <f t="shared" si="12"/>
        <v>90</v>
      </c>
      <c r="T6" s="13">
        <f t="shared" si="13"/>
        <v>0</v>
      </c>
      <c r="U6" s="13">
        <f t="shared" si="7"/>
        <v>0</v>
      </c>
      <c r="V6" s="13">
        <f t="shared" si="7"/>
        <v>0</v>
      </c>
      <c r="W6" s="13">
        <f t="shared" si="7"/>
        <v>0</v>
      </c>
      <c r="X6" s="15">
        <f t="shared" si="14"/>
        <v>630</v>
      </c>
      <c r="Y6" s="15">
        <f t="shared" si="15"/>
        <v>444</v>
      </c>
      <c r="Z6" s="15">
        <f t="shared" si="8"/>
        <v>360</v>
      </c>
      <c r="AA6" s="15">
        <f t="shared" si="8"/>
        <v>468</v>
      </c>
      <c r="AB6" s="15">
        <f t="shared" si="8"/>
        <v>348</v>
      </c>
      <c r="AD6" s="4">
        <f t="shared" si="16"/>
        <v>2250</v>
      </c>
    </row>
    <row r="7" spans="1:30">
      <c r="A7" t="s">
        <v>17</v>
      </c>
      <c r="B7" t="s">
        <v>18</v>
      </c>
      <c r="C7" s="4">
        <v>22.7</v>
      </c>
      <c r="D7" s="7">
        <v>34</v>
      </c>
      <c r="E7" s="7">
        <v>28</v>
      </c>
      <c r="F7" s="7">
        <v>25</v>
      </c>
      <c r="G7" s="7">
        <v>33</v>
      </c>
      <c r="H7" s="7">
        <v>30</v>
      </c>
      <c r="I7" s="9">
        <f t="shared" si="9"/>
        <v>0</v>
      </c>
      <c r="J7" s="9">
        <f t="shared" si="9"/>
        <v>0</v>
      </c>
      <c r="K7" s="9">
        <f t="shared" si="5"/>
        <v>0</v>
      </c>
      <c r="L7" s="9">
        <f t="shared" si="5"/>
        <v>0</v>
      </c>
      <c r="M7" s="9">
        <f t="shared" si="5"/>
        <v>0</v>
      </c>
      <c r="N7" s="11">
        <f t="shared" si="10"/>
        <v>771.8</v>
      </c>
      <c r="O7" s="11">
        <f t="shared" si="11"/>
        <v>635.6</v>
      </c>
      <c r="P7" s="11">
        <f t="shared" si="6"/>
        <v>567.5</v>
      </c>
      <c r="Q7" s="11">
        <f t="shared" si="6"/>
        <v>749.1</v>
      </c>
      <c r="R7" s="11">
        <f t="shared" si="6"/>
        <v>681</v>
      </c>
      <c r="S7" s="13">
        <f t="shared" si="12"/>
        <v>0</v>
      </c>
      <c r="T7" s="13">
        <f t="shared" si="13"/>
        <v>0</v>
      </c>
      <c r="U7" s="13">
        <f t="shared" si="7"/>
        <v>0</v>
      </c>
      <c r="V7" s="13">
        <f t="shared" si="7"/>
        <v>0</v>
      </c>
      <c r="W7" s="13">
        <f t="shared" si="7"/>
        <v>0</v>
      </c>
      <c r="X7" s="15">
        <f t="shared" si="14"/>
        <v>771.8</v>
      </c>
      <c r="Y7" s="15">
        <f t="shared" si="15"/>
        <v>635.6</v>
      </c>
      <c r="Z7" s="15">
        <f t="shared" si="8"/>
        <v>567.5</v>
      </c>
      <c r="AA7" s="15">
        <f t="shared" si="8"/>
        <v>749.1</v>
      </c>
      <c r="AB7" s="15">
        <f t="shared" si="8"/>
        <v>681</v>
      </c>
      <c r="AD7" s="4">
        <f t="shared" si="16"/>
        <v>3405</v>
      </c>
    </row>
    <row r="8" spans="1:30">
      <c r="A8" t="s">
        <v>19</v>
      </c>
      <c r="B8" t="s">
        <v>20</v>
      </c>
      <c r="C8" s="4">
        <v>6.6</v>
      </c>
      <c r="D8" s="7">
        <v>39</v>
      </c>
      <c r="E8" s="7">
        <v>50</v>
      </c>
      <c r="F8" s="7">
        <v>45</v>
      </c>
      <c r="G8" s="7">
        <v>47</v>
      </c>
      <c r="H8" s="7">
        <v>44</v>
      </c>
      <c r="I8" s="9">
        <f t="shared" si="9"/>
        <v>0</v>
      </c>
      <c r="J8" s="9">
        <f t="shared" si="9"/>
        <v>10</v>
      </c>
      <c r="K8" s="9">
        <f t="shared" si="5"/>
        <v>5</v>
      </c>
      <c r="L8" s="9">
        <f t="shared" si="5"/>
        <v>7</v>
      </c>
      <c r="M8" s="9">
        <f t="shared" si="5"/>
        <v>4</v>
      </c>
      <c r="N8" s="11">
        <f t="shared" si="10"/>
        <v>257.39999999999998</v>
      </c>
      <c r="O8" s="11">
        <f t="shared" si="11"/>
        <v>330</v>
      </c>
      <c r="P8" s="11">
        <f t="shared" si="6"/>
        <v>297</v>
      </c>
      <c r="Q8" s="11">
        <f t="shared" si="6"/>
        <v>310.2</v>
      </c>
      <c r="R8" s="11">
        <f t="shared" si="6"/>
        <v>290.39999999999998</v>
      </c>
      <c r="S8" s="13">
        <f t="shared" si="12"/>
        <v>0</v>
      </c>
      <c r="T8" s="13">
        <f t="shared" si="13"/>
        <v>98.999999999999986</v>
      </c>
      <c r="U8" s="13">
        <f t="shared" si="7"/>
        <v>49.499999999999993</v>
      </c>
      <c r="V8" s="13">
        <f t="shared" si="7"/>
        <v>69.299999999999983</v>
      </c>
      <c r="W8" s="13">
        <f t="shared" si="7"/>
        <v>39.599999999999994</v>
      </c>
      <c r="X8" s="15">
        <f t="shared" si="14"/>
        <v>257.39999999999998</v>
      </c>
      <c r="Y8" s="15">
        <f t="shared" si="15"/>
        <v>429</v>
      </c>
      <c r="Z8" s="15">
        <f t="shared" si="8"/>
        <v>346.5</v>
      </c>
      <c r="AA8" s="15">
        <f t="shared" si="8"/>
        <v>379.5</v>
      </c>
      <c r="AB8" s="15">
        <f t="shared" si="8"/>
        <v>330</v>
      </c>
      <c r="AD8" s="4">
        <f t="shared" si="16"/>
        <v>1742.4</v>
      </c>
    </row>
    <row r="9" spans="1:30">
      <c r="A9" t="s">
        <v>21</v>
      </c>
      <c r="B9" t="s">
        <v>22</v>
      </c>
      <c r="C9" s="4">
        <v>5.5</v>
      </c>
      <c r="D9" s="7">
        <v>44</v>
      </c>
      <c r="E9" s="7">
        <v>37</v>
      </c>
      <c r="F9" s="7">
        <v>32</v>
      </c>
      <c r="G9" s="7">
        <v>39</v>
      </c>
      <c r="H9" s="7">
        <v>31</v>
      </c>
      <c r="I9" s="9">
        <f t="shared" si="9"/>
        <v>4</v>
      </c>
      <c r="J9" s="9">
        <f t="shared" si="9"/>
        <v>0</v>
      </c>
      <c r="K9" s="9">
        <f t="shared" si="5"/>
        <v>0</v>
      </c>
      <c r="L9" s="9">
        <f t="shared" si="5"/>
        <v>0</v>
      </c>
      <c r="M9" s="9">
        <f t="shared" si="5"/>
        <v>0</v>
      </c>
      <c r="N9" s="11">
        <f t="shared" si="10"/>
        <v>242</v>
      </c>
      <c r="O9" s="11">
        <f t="shared" si="11"/>
        <v>203.5</v>
      </c>
      <c r="P9" s="11">
        <f t="shared" si="6"/>
        <v>176</v>
      </c>
      <c r="Q9" s="11">
        <f t="shared" si="6"/>
        <v>214.5</v>
      </c>
      <c r="R9" s="11">
        <f t="shared" si="6"/>
        <v>170.5</v>
      </c>
      <c r="S9" s="13">
        <f t="shared" si="12"/>
        <v>33</v>
      </c>
      <c r="T9" s="13">
        <f t="shared" si="13"/>
        <v>0</v>
      </c>
      <c r="U9" s="13">
        <f t="shared" si="7"/>
        <v>0</v>
      </c>
      <c r="V9" s="13">
        <f t="shared" si="7"/>
        <v>0</v>
      </c>
      <c r="W9" s="13">
        <f t="shared" si="7"/>
        <v>0</v>
      </c>
      <c r="X9" s="15">
        <f t="shared" si="14"/>
        <v>275</v>
      </c>
      <c r="Y9" s="15">
        <f t="shared" si="15"/>
        <v>203.5</v>
      </c>
      <c r="Z9" s="15">
        <f t="shared" si="8"/>
        <v>176</v>
      </c>
      <c r="AA9" s="15">
        <f t="shared" si="8"/>
        <v>214.5</v>
      </c>
      <c r="AB9" s="15">
        <f t="shared" si="8"/>
        <v>170.5</v>
      </c>
      <c r="AD9" s="4">
        <f t="shared" si="16"/>
        <v>1039.5</v>
      </c>
    </row>
    <row r="10" spans="1:30">
      <c r="A10" t="s">
        <v>23</v>
      </c>
      <c r="B10" t="s">
        <v>24</v>
      </c>
      <c r="C10" s="4">
        <v>12.9</v>
      </c>
      <c r="D10" s="7">
        <v>40</v>
      </c>
      <c r="E10" s="7">
        <v>31</v>
      </c>
      <c r="F10" s="7">
        <v>27</v>
      </c>
      <c r="G10" s="7">
        <v>32</v>
      </c>
      <c r="H10" s="7">
        <v>22</v>
      </c>
      <c r="I10" s="9">
        <f t="shared" si="9"/>
        <v>0</v>
      </c>
      <c r="J10" s="9">
        <f t="shared" si="9"/>
        <v>0</v>
      </c>
      <c r="K10" s="9">
        <f t="shared" si="5"/>
        <v>0</v>
      </c>
      <c r="L10" s="9">
        <f t="shared" si="5"/>
        <v>0</v>
      </c>
      <c r="M10" s="9">
        <f t="shared" si="5"/>
        <v>0</v>
      </c>
      <c r="N10" s="11">
        <f t="shared" si="10"/>
        <v>516</v>
      </c>
      <c r="O10" s="11">
        <f t="shared" si="11"/>
        <v>399.90000000000003</v>
      </c>
      <c r="P10" s="11">
        <f t="shared" si="6"/>
        <v>348.3</v>
      </c>
      <c r="Q10" s="11">
        <f t="shared" si="6"/>
        <v>412.8</v>
      </c>
      <c r="R10" s="11">
        <f t="shared" si="6"/>
        <v>283.8</v>
      </c>
      <c r="S10" s="13">
        <f t="shared" si="12"/>
        <v>0</v>
      </c>
      <c r="T10" s="13">
        <f t="shared" si="13"/>
        <v>0</v>
      </c>
      <c r="U10" s="13">
        <f t="shared" si="7"/>
        <v>0</v>
      </c>
      <c r="V10" s="13">
        <f t="shared" si="7"/>
        <v>0</v>
      </c>
      <c r="W10" s="13">
        <f t="shared" si="7"/>
        <v>0</v>
      </c>
      <c r="X10" s="15">
        <f t="shared" si="14"/>
        <v>516</v>
      </c>
      <c r="Y10" s="15">
        <f t="shared" si="15"/>
        <v>399.90000000000003</v>
      </c>
      <c r="Z10" s="15">
        <f t="shared" si="8"/>
        <v>348.3</v>
      </c>
      <c r="AA10" s="15">
        <f t="shared" si="8"/>
        <v>412.8</v>
      </c>
      <c r="AB10" s="15">
        <f t="shared" si="8"/>
        <v>283.8</v>
      </c>
      <c r="AD10" s="4">
        <f t="shared" si="16"/>
        <v>1960.8</v>
      </c>
    </row>
    <row r="11" spans="1:30">
      <c r="A11" t="s">
        <v>25</v>
      </c>
      <c r="B11" t="s">
        <v>26</v>
      </c>
      <c r="C11" s="4">
        <v>18.7</v>
      </c>
      <c r="D11" s="7">
        <v>32</v>
      </c>
      <c r="E11" s="7">
        <v>55</v>
      </c>
      <c r="F11" s="7">
        <v>53</v>
      </c>
      <c r="G11" s="7">
        <v>58</v>
      </c>
      <c r="H11" s="7">
        <v>50</v>
      </c>
      <c r="I11" s="9">
        <f t="shared" si="9"/>
        <v>0</v>
      </c>
      <c r="J11" s="9">
        <f t="shared" si="9"/>
        <v>15</v>
      </c>
      <c r="K11" s="9">
        <f t="shared" si="5"/>
        <v>13</v>
      </c>
      <c r="L11" s="9">
        <f t="shared" si="5"/>
        <v>18</v>
      </c>
      <c r="M11" s="9">
        <f t="shared" si="5"/>
        <v>10</v>
      </c>
      <c r="N11" s="11">
        <f t="shared" si="10"/>
        <v>598.4</v>
      </c>
      <c r="O11" s="11">
        <f t="shared" si="11"/>
        <v>1028.5</v>
      </c>
      <c r="P11" s="11">
        <f t="shared" si="6"/>
        <v>991.09999999999991</v>
      </c>
      <c r="Q11" s="11">
        <f t="shared" si="6"/>
        <v>1084.5999999999999</v>
      </c>
      <c r="R11" s="11">
        <f t="shared" si="6"/>
        <v>935</v>
      </c>
      <c r="S11" s="13">
        <f t="shared" si="12"/>
        <v>0</v>
      </c>
      <c r="T11" s="13">
        <f t="shared" si="13"/>
        <v>420.74999999999994</v>
      </c>
      <c r="U11" s="13">
        <f t="shared" si="7"/>
        <v>364.65</v>
      </c>
      <c r="V11" s="13">
        <f t="shared" si="7"/>
        <v>504.9</v>
      </c>
      <c r="W11" s="13">
        <f t="shared" si="7"/>
        <v>280.5</v>
      </c>
      <c r="X11" s="15">
        <f t="shared" si="14"/>
        <v>598.4</v>
      </c>
      <c r="Y11" s="15">
        <f t="shared" si="15"/>
        <v>1449.25</v>
      </c>
      <c r="Z11" s="15">
        <f t="shared" si="8"/>
        <v>1355.75</v>
      </c>
      <c r="AA11" s="15">
        <f t="shared" si="8"/>
        <v>1589.5</v>
      </c>
      <c r="AB11" s="15">
        <f t="shared" si="8"/>
        <v>1215.5</v>
      </c>
      <c r="AD11" s="4">
        <f t="shared" si="16"/>
        <v>6208.4</v>
      </c>
    </row>
    <row r="12" spans="1:30">
      <c r="A12" t="s">
        <v>27</v>
      </c>
      <c r="B12" t="s">
        <v>28</v>
      </c>
      <c r="C12" s="4">
        <v>15.2</v>
      </c>
      <c r="D12" s="7">
        <v>38</v>
      </c>
      <c r="E12" s="7">
        <v>60</v>
      </c>
      <c r="F12" s="7">
        <v>56</v>
      </c>
      <c r="G12" s="7">
        <v>58</v>
      </c>
      <c r="H12" s="7">
        <v>55</v>
      </c>
      <c r="I12" s="9">
        <f t="shared" si="9"/>
        <v>0</v>
      </c>
      <c r="J12" s="9">
        <f t="shared" si="9"/>
        <v>20</v>
      </c>
      <c r="K12" s="9">
        <f t="shared" si="5"/>
        <v>16</v>
      </c>
      <c r="L12" s="9">
        <f t="shared" si="5"/>
        <v>18</v>
      </c>
      <c r="M12" s="9">
        <f t="shared" si="5"/>
        <v>15</v>
      </c>
      <c r="N12" s="11">
        <f t="shared" si="10"/>
        <v>577.6</v>
      </c>
      <c r="O12" s="11">
        <f t="shared" si="11"/>
        <v>912</v>
      </c>
      <c r="P12" s="11">
        <f t="shared" si="6"/>
        <v>851.19999999999993</v>
      </c>
      <c r="Q12" s="11">
        <f t="shared" si="6"/>
        <v>881.59999999999991</v>
      </c>
      <c r="R12" s="11">
        <f t="shared" si="6"/>
        <v>836</v>
      </c>
      <c r="S12" s="13">
        <f t="shared" si="12"/>
        <v>0</v>
      </c>
      <c r="T12" s="13">
        <f t="shared" si="13"/>
        <v>455.99999999999994</v>
      </c>
      <c r="U12" s="13">
        <f t="shared" si="7"/>
        <v>364.79999999999995</v>
      </c>
      <c r="V12" s="13">
        <f t="shared" si="7"/>
        <v>410.4</v>
      </c>
      <c r="W12" s="13">
        <f t="shared" si="7"/>
        <v>341.99999999999994</v>
      </c>
      <c r="X12" s="15">
        <f t="shared" si="14"/>
        <v>577.6</v>
      </c>
      <c r="Y12" s="15">
        <f t="shared" si="15"/>
        <v>1368</v>
      </c>
      <c r="Z12" s="15">
        <f t="shared" si="8"/>
        <v>1216</v>
      </c>
      <c r="AA12" s="15">
        <f t="shared" si="8"/>
        <v>1292</v>
      </c>
      <c r="AB12" s="15">
        <f t="shared" si="8"/>
        <v>1178</v>
      </c>
      <c r="AD12" s="4">
        <f t="shared" si="16"/>
        <v>5631.6</v>
      </c>
    </row>
    <row r="13" spans="1:30">
      <c r="A13" t="s">
        <v>29</v>
      </c>
      <c r="B13" t="s">
        <v>30</v>
      </c>
      <c r="C13" s="4">
        <v>11.1</v>
      </c>
      <c r="D13" s="7">
        <v>50</v>
      </c>
      <c r="E13" s="7">
        <v>34</v>
      </c>
      <c r="F13" s="7">
        <v>27</v>
      </c>
      <c r="G13" s="7">
        <v>30</v>
      </c>
      <c r="H13" s="7">
        <v>26</v>
      </c>
      <c r="I13" s="9">
        <f t="shared" si="9"/>
        <v>10</v>
      </c>
      <c r="J13" s="9">
        <f t="shared" si="9"/>
        <v>0</v>
      </c>
      <c r="K13" s="9">
        <f t="shared" si="5"/>
        <v>0</v>
      </c>
      <c r="L13" s="9">
        <f t="shared" si="5"/>
        <v>0</v>
      </c>
      <c r="M13" s="9">
        <f t="shared" si="5"/>
        <v>0</v>
      </c>
      <c r="N13" s="11">
        <f t="shared" si="10"/>
        <v>555</v>
      </c>
      <c r="O13" s="11">
        <f t="shared" si="11"/>
        <v>377.4</v>
      </c>
      <c r="P13" s="11">
        <f t="shared" si="6"/>
        <v>299.7</v>
      </c>
      <c r="Q13" s="11">
        <f t="shared" si="6"/>
        <v>333</v>
      </c>
      <c r="R13" s="11">
        <f t="shared" si="6"/>
        <v>288.59999999999997</v>
      </c>
      <c r="S13" s="13">
        <f t="shared" si="12"/>
        <v>166.5</v>
      </c>
      <c r="T13" s="13">
        <f t="shared" si="13"/>
        <v>0</v>
      </c>
      <c r="U13" s="13">
        <f t="shared" si="7"/>
        <v>0</v>
      </c>
      <c r="V13" s="13">
        <f t="shared" si="7"/>
        <v>0</v>
      </c>
      <c r="W13" s="13">
        <f t="shared" si="7"/>
        <v>0</v>
      </c>
      <c r="X13" s="15">
        <f t="shared" si="14"/>
        <v>721.5</v>
      </c>
      <c r="Y13" s="15">
        <f t="shared" si="15"/>
        <v>377.4</v>
      </c>
      <c r="Z13" s="15">
        <f t="shared" si="8"/>
        <v>299.7</v>
      </c>
      <c r="AA13" s="15">
        <f t="shared" si="8"/>
        <v>333</v>
      </c>
      <c r="AB13" s="15">
        <f t="shared" si="8"/>
        <v>288.59999999999997</v>
      </c>
      <c r="AD13" s="4">
        <f t="shared" si="16"/>
        <v>2020.2</v>
      </c>
    </row>
    <row r="14" spans="1:30">
      <c r="A14" t="s">
        <v>31</v>
      </c>
      <c r="B14" t="s">
        <v>32</v>
      </c>
      <c r="C14" s="4">
        <v>13</v>
      </c>
      <c r="D14" s="7">
        <v>46</v>
      </c>
      <c r="E14" s="7">
        <v>45</v>
      </c>
      <c r="F14" s="7">
        <v>40</v>
      </c>
      <c r="G14" s="7">
        <v>49</v>
      </c>
      <c r="H14" s="7">
        <v>46</v>
      </c>
      <c r="I14" s="9">
        <f t="shared" si="9"/>
        <v>6</v>
      </c>
      <c r="J14" s="9">
        <f t="shared" si="9"/>
        <v>5</v>
      </c>
      <c r="K14" s="9">
        <f t="shared" si="5"/>
        <v>0</v>
      </c>
      <c r="L14" s="9">
        <f t="shared" si="5"/>
        <v>9</v>
      </c>
      <c r="M14" s="9">
        <f t="shared" si="5"/>
        <v>6</v>
      </c>
      <c r="N14" s="11">
        <f t="shared" si="10"/>
        <v>598</v>
      </c>
      <c r="O14" s="11">
        <f t="shared" si="11"/>
        <v>585</v>
      </c>
      <c r="P14" s="11">
        <f t="shared" si="6"/>
        <v>520</v>
      </c>
      <c r="Q14" s="11">
        <f t="shared" si="6"/>
        <v>637</v>
      </c>
      <c r="R14" s="11">
        <f t="shared" si="6"/>
        <v>598</v>
      </c>
      <c r="S14" s="13">
        <f t="shared" si="12"/>
        <v>117</v>
      </c>
      <c r="T14" s="13">
        <f t="shared" si="13"/>
        <v>97.5</v>
      </c>
      <c r="U14" s="13">
        <f t="shared" si="7"/>
        <v>0</v>
      </c>
      <c r="V14" s="13">
        <f t="shared" si="7"/>
        <v>175.5</v>
      </c>
      <c r="W14" s="13">
        <f t="shared" si="7"/>
        <v>117</v>
      </c>
      <c r="X14" s="15">
        <f t="shared" si="14"/>
        <v>715</v>
      </c>
      <c r="Y14" s="15">
        <f t="shared" si="15"/>
        <v>682.5</v>
      </c>
      <c r="Z14" s="15">
        <f t="shared" si="8"/>
        <v>520</v>
      </c>
      <c r="AA14" s="15">
        <f t="shared" si="8"/>
        <v>812.5</v>
      </c>
      <c r="AB14" s="15">
        <f t="shared" si="8"/>
        <v>715</v>
      </c>
      <c r="AD14" s="4">
        <f t="shared" si="16"/>
        <v>3445</v>
      </c>
    </row>
    <row r="15" spans="1:30">
      <c r="A15" t="s">
        <v>33</v>
      </c>
      <c r="B15" t="s">
        <v>34</v>
      </c>
      <c r="C15" s="4">
        <v>19.600000000000001</v>
      </c>
      <c r="D15" s="7">
        <v>38</v>
      </c>
      <c r="E15" s="7">
        <v>28</v>
      </c>
      <c r="F15" s="7">
        <v>23</v>
      </c>
      <c r="G15" s="7">
        <v>34</v>
      </c>
      <c r="H15" s="7">
        <v>31</v>
      </c>
      <c r="I15" s="9">
        <f t="shared" si="9"/>
        <v>0</v>
      </c>
      <c r="J15" s="9">
        <f t="shared" si="9"/>
        <v>0</v>
      </c>
      <c r="K15" s="9">
        <f t="shared" si="5"/>
        <v>0</v>
      </c>
      <c r="L15" s="9">
        <f t="shared" si="5"/>
        <v>0</v>
      </c>
      <c r="M15" s="9">
        <f t="shared" si="5"/>
        <v>0</v>
      </c>
      <c r="N15" s="11">
        <f t="shared" si="10"/>
        <v>744.80000000000007</v>
      </c>
      <c r="O15" s="11">
        <f t="shared" si="11"/>
        <v>548.80000000000007</v>
      </c>
      <c r="P15" s="11">
        <f t="shared" si="6"/>
        <v>450.8</v>
      </c>
      <c r="Q15" s="11">
        <f t="shared" si="6"/>
        <v>666.40000000000009</v>
      </c>
      <c r="R15" s="11">
        <f t="shared" si="6"/>
        <v>607.6</v>
      </c>
      <c r="S15" s="13">
        <f t="shared" si="12"/>
        <v>0</v>
      </c>
      <c r="T15" s="13">
        <f t="shared" si="13"/>
        <v>0</v>
      </c>
      <c r="U15" s="13">
        <f t="shared" si="7"/>
        <v>0</v>
      </c>
      <c r="V15" s="13">
        <f t="shared" si="7"/>
        <v>0</v>
      </c>
      <c r="W15" s="13">
        <f t="shared" si="7"/>
        <v>0</v>
      </c>
      <c r="X15" s="15">
        <f t="shared" si="14"/>
        <v>744.80000000000007</v>
      </c>
      <c r="Y15" s="15">
        <f t="shared" si="15"/>
        <v>548.80000000000007</v>
      </c>
      <c r="Z15" s="15">
        <f t="shared" si="8"/>
        <v>450.8</v>
      </c>
      <c r="AA15" s="15">
        <f t="shared" si="8"/>
        <v>666.40000000000009</v>
      </c>
      <c r="AB15" s="15">
        <f t="shared" si="8"/>
        <v>607.6</v>
      </c>
      <c r="AD15" s="4">
        <f t="shared" si="16"/>
        <v>3018.4</v>
      </c>
    </row>
    <row r="16" spans="1:30">
      <c r="A16" t="s">
        <v>35</v>
      </c>
      <c r="B16" t="s">
        <v>36</v>
      </c>
      <c r="C16" s="4">
        <v>21.5</v>
      </c>
      <c r="D16" s="7">
        <v>41</v>
      </c>
      <c r="E16" s="7">
        <v>56</v>
      </c>
      <c r="F16" s="7">
        <v>52</v>
      </c>
      <c r="G16" s="7">
        <v>55</v>
      </c>
      <c r="H16" s="7">
        <v>51</v>
      </c>
      <c r="I16" s="9">
        <f t="shared" si="9"/>
        <v>1</v>
      </c>
      <c r="J16" s="9">
        <f t="shared" si="9"/>
        <v>16</v>
      </c>
      <c r="K16" s="9">
        <f t="shared" si="5"/>
        <v>12</v>
      </c>
      <c r="L16" s="9">
        <f t="shared" si="5"/>
        <v>15</v>
      </c>
      <c r="M16" s="9">
        <f t="shared" si="5"/>
        <v>11</v>
      </c>
      <c r="N16" s="11">
        <f t="shared" si="10"/>
        <v>881.5</v>
      </c>
      <c r="O16" s="11">
        <f t="shared" si="11"/>
        <v>1204</v>
      </c>
      <c r="P16" s="11">
        <f t="shared" si="6"/>
        <v>1118</v>
      </c>
      <c r="Q16" s="11">
        <f t="shared" si="6"/>
        <v>1182.5</v>
      </c>
      <c r="R16" s="11">
        <f t="shared" si="6"/>
        <v>1096.5</v>
      </c>
      <c r="S16" s="13">
        <f t="shared" si="12"/>
        <v>32.25</v>
      </c>
      <c r="T16" s="13">
        <f t="shared" si="13"/>
        <v>516</v>
      </c>
      <c r="U16" s="13">
        <f t="shared" si="7"/>
        <v>387</v>
      </c>
      <c r="V16" s="13">
        <f t="shared" si="7"/>
        <v>483.75</v>
      </c>
      <c r="W16" s="13">
        <f t="shared" si="7"/>
        <v>354.75</v>
      </c>
      <c r="X16" s="15">
        <f t="shared" si="14"/>
        <v>913.75</v>
      </c>
      <c r="Y16" s="15">
        <f t="shared" si="15"/>
        <v>1720</v>
      </c>
      <c r="Z16" s="15">
        <f t="shared" si="8"/>
        <v>1505</v>
      </c>
      <c r="AA16" s="15">
        <f t="shared" si="8"/>
        <v>1666.25</v>
      </c>
      <c r="AB16" s="15">
        <f t="shared" si="8"/>
        <v>1451.25</v>
      </c>
      <c r="AD16" s="4">
        <f t="shared" si="16"/>
        <v>7256.25</v>
      </c>
    </row>
    <row r="17" spans="1:30">
      <c r="A17" t="s">
        <v>37</v>
      </c>
      <c r="B17" t="s">
        <v>38</v>
      </c>
      <c r="C17" s="4">
        <v>20.6</v>
      </c>
      <c r="D17" s="7">
        <v>46</v>
      </c>
      <c r="E17" s="7">
        <v>65</v>
      </c>
      <c r="F17" s="7">
        <v>58</v>
      </c>
      <c r="G17" s="7">
        <v>66</v>
      </c>
      <c r="H17" s="7">
        <v>60</v>
      </c>
      <c r="I17" s="9">
        <f t="shared" si="9"/>
        <v>6</v>
      </c>
      <c r="J17" s="9">
        <f t="shared" si="9"/>
        <v>25</v>
      </c>
      <c r="K17" s="9">
        <f t="shared" si="5"/>
        <v>18</v>
      </c>
      <c r="L17" s="9">
        <f t="shared" si="5"/>
        <v>26</v>
      </c>
      <c r="M17" s="9">
        <f t="shared" si="5"/>
        <v>20</v>
      </c>
      <c r="N17" s="11">
        <f t="shared" si="10"/>
        <v>947.6</v>
      </c>
      <c r="O17" s="11">
        <f t="shared" si="11"/>
        <v>1339</v>
      </c>
      <c r="P17" s="11">
        <f t="shared" si="6"/>
        <v>1194.8000000000002</v>
      </c>
      <c r="Q17" s="11">
        <f t="shared" si="6"/>
        <v>1359.6000000000001</v>
      </c>
      <c r="R17" s="11">
        <f t="shared" si="6"/>
        <v>1236</v>
      </c>
      <c r="S17" s="13">
        <f t="shared" si="12"/>
        <v>185.4</v>
      </c>
      <c r="T17" s="13">
        <f t="shared" si="13"/>
        <v>772.5</v>
      </c>
      <c r="U17" s="13">
        <f t="shared" si="7"/>
        <v>556.20000000000005</v>
      </c>
      <c r="V17" s="13">
        <f t="shared" si="7"/>
        <v>803.40000000000009</v>
      </c>
      <c r="W17" s="13">
        <f t="shared" si="7"/>
        <v>618</v>
      </c>
      <c r="X17" s="15">
        <f t="shared" si="14"/>
        <v>1133</v>
      </c>
      <c r="Y17" s="15">
        <f t="shared" si="15"/>
        <v>2111.5</v>
      </c>
      <c r="Z17" s="15">
        <f t="shared" si="8"/>
        <v>1751.0000000000002</v>
      </c>
      <c r="AA17" s="15">
        <f t="shared" si="8"/>
        <v>2163</v>
      </c>
      <c r="AB17" s="15">
        <f t="shared" si="8"/>
        <v>1854</v>
      </c>
      <c r="AD17" s="4">
        <f t="shared" si="16"/>
        <v>9012.5</v>
      </c>
    </row>
    <row r="18" spans="1:30">
      <c r="A18" t="s">
        <v>39</v>
      </c>
      <c r="B18" t="s">
        <v>40</v>
      </c>
      <c r="C18" s="4">
        <v>22</v>
      </c>
      <c r="D18" s="7">
        <v>32</v>
      </c>
      <c r="E18" s="7">
        <v>45</v>
      </c>
      <c r="F18" s="7">
        <v>35</v>
      </c>
      <c r="G18" s="7">
        <v>55</v>
      </c>
      <c r="H18" s="7">
        <v>25</v>
      </c>
      <c r="I18" s="9">
        <f t="shared" si="9"/>
        <v>0</v>
      </c>
      <c r="J18" s="9">
        <f t="shared" si="9"/>
        <v>5</v>
      </c>
      <c r="K18" s="9">
        <f t="shared" si="5"/>
        <v>0</v>
      </c>
      <c r="L18" s="9">
        <f t="shared" si="5"/>
        <v>15</v>
      </c>
      <c r="M18" s="9">
        <f t="shared" si="5"/>
        <v>0</v>
      </c>
      <c r="N18" s="11">
        <f t="shared" si="10"/>
        <v>704</v>
      </c>
      <c r="O18" s="11">
        <f t="shared" si="11"/>
        <v>990</v>
      </c>
      <c r="P18" s="11">
        <f t="shared" si="6"/>
        <v>770</v>
      </c>
      <c r="Q18" s="11">
        <f t="shared" si="6"/>
        <v>1210</v>
      </c>
      <c r="R18" s="11">
        <f t="shared" si="6"/>
        <v>550</v>
      </c>
      <c r="S18" s="13">
        <f t="shared" si="12"/>
        <v>0</v>
      </c>
      <c r="T18" s="13">
        <f t="shared" si="13"/>
        <v>165</v>
      </c>
      <c r="U18" s="13">
        <f t="shared" si="7"/>
        <v>0</v>
      </c>
      <c r="V18" s="13">
        <f t="shared" si="7"/>
        <v>495</v>
      </c>
      <c r="W18" s="13">
        <f t="shared" si="7"/>
        <v>0</v>
      </c>
      <c r="X18" s="15">
        <f t="shared" si="14"/>
        <v>704</v>
      </c>
      <c r="Y18" s="15">
        <f t="shared" si="15"/>
        <v>1155</v>
      </c>
      <c r="Z18" s="15">
        <f t="shared" si="8"/>
        <v>770</v>
      </c>
      <c r="AA18" s="15">
        <f t="shared" si="8"/>
        <v>1705</v>
      </c>
      <c r="AB18" s="15">
        <f t="shared" si="8"/>
        <v>550</v>
      </c>
      <c r="AD18" s="4">
        <f t="shared" si="16"/>
        <v>4884</v>
      </c>
    </row>
    <row r="19" spans="1:30">
      <c r="A19" t="s">
        <v>41</v>
      </c>
      <c r="B19" t="s">
        <v>42</v>
      </c>
      <c r="C19" s="4">
        <v>24.8</v>
      </c>
      <c r="D19" s="7">
        <v>33</v>
      </c>
      <c r="E19" s="7">
        <v>23</v>
      </c>
      <c r="F19" s="7">
        <v>13</v>
      </c>
      <c r="G19" s="7">
        <v>33</v>
      </c>
      <c r="H19" s="7">
        <v>3</v>
      </c>
      <c r="I19" s="9">
        <f t="shared" si="9"/>
        <v>0</v>
      </c>
      <c r="J19" s="9">
        <f t="shared" si="9"/>
        <v>0</v>
      </c>
      <c r="K19" s="9">
        <f t="shared" si="5"/>
        <v>0</v>
      </c>
      <c r="L19" s="9">
        <f t="shared" si="5"/>
        <v>0</v>
      </c>
      <c r="M19" s="9">
        <f t="shared" si="5"/>
        <v>0</v>
      </c>
      <c r="N19" s="11">
        <f t="shared" si="10"/>
        <v>818.4</v>
      </c>
      <c r="O19" s="11">
        <f t="shared" si="11"/>
        <v>570.4</v>
      </c>
      <c r="P19" s="11">
        <f t="shared" si="6"/>
        <v>322.40000000000003</v>
      </c>
      <c r="Q19" s="11">
        <f t="shared" si="6"/>
        <v>818.4</v>
      </c>
      <c r="R19" s="11">
        <f t="shared" si="6"/>
        <v>74.400000000000006</v>
      </c>
      <c r="S19" s="13">
        <f t="shared" si="12"/>
        <v>0</v>
      </c>
      <c r="T19" s="13">
        <f t="shared" si="13"/>
        <v>0</v>
      </c>
      <c r="U19" s="13">
        <f t="shared" si="7"/>
        <v>0</v>
      </c>
      <c r="V19" s="13">
        <f t="shared" si="7"/>
        <v>0</v>
      </c>
      <c r="W19" s="13">
        <f t="shared" si="7"/>
        <v>0</v>
      </c>
      <c r="X19" s="15">
        <f t="shared" si="14"/>
        <v>818.4</v>
      </c>
      <c r="Y19" s="15">
        <f t="shared" si="15"/>
        <v>570.4</v>
      </c>
      <c r="Z19" s="15">
        <f t="shared" si="8"/>
        <v>322.40000000000003</v>
      </c>
      <c r="AA19" s="15">
        <f t="shared" si="8"/>
        <v>818.4</v>
      </c>
      <c r="AB19" s="15">
        <f t="shared" si="8"/>
        <v>74.400000000000006</v>
      </c>
      <c r="AD19" s="4">
        <f t="shared" si="16"/>
        <v>2604</v>
      </c>
    </row>
    <row r="20" spans="1:30">
      <c r="A20" t="s">
        <v>43</v>
      </c>
      <c r="B20" t="s">
        <v>44</v>
      </c>
      <c r="C20" s="4">
        <v>14.4</v>
      </c>
      <c r="D20" s="7">
        <v>37</v>
      </c>
      <c r="E20" s="7">
        <v>32</v>
      </c>
      <c r="F20" s="7">
        <v>29</v>
      </c>
      <c r="G20" s="7">
        <v>44</v>
      </c>
      <c r="H20" s="7">
        <v>20</v>
      </c>
      <c r="I20" s="9">
        <f t="shared" si="9"/>
        <v>0</v>
      </c>
      <c r="J20" s="9">
        <f t="shared" si="9"/>
        <v>0</v>
      </c>
      <c r="K20" s="9">
        <f t="shared" ref="K20" si="17">IF(F20&gt;40,F20-40,0)</f>
        <v>0</v>
      </c>
      <c r="L20" s="9">
        <f t="shared" ref="L20" si="18">IF(G20&gt;40,G20-40,0)</f>
        <v>4</v>
      </c>
      <c r="M20" s="9">
        <f t="shared" ref="M20" si="19">IF(H20&gt;40,H20-40,0)</f>
        <v>0</v>
      </c>
      <c r="N20" s="11">
        <f t="shared" si="10"/>
        <v>532.80000000000007</v>
      </c>
      <c r="O20" s="11">
        <f t="shared" si="11"/>
        <v>460.8</v>
      </c>
      <c r="P20" s="11">
        <f t="shared" ref="P20" si="20">$C20*F20</f>
        <v>417.6</v>
      </c>
      <c r="Q20" s="11">
        <f t="shared" ref="Q20" si="21">$C20*G20</f>
        <v>633.6</v>
      </c>
      <c r="R20" s="11">
        <f t="shared" ref="R20" si="22">$C20*H20</f>
        <v>288</v>
      </c>
      <c r="S20" s="13">
        <f t="shared" si="12"/>
        <v>0</v>
      </c>
      <c r="T20" s="13">
        <f t="shared" si="13"/>
        <v>0</v>
      </c>
      <c r="U20" s="13">
        <f t="shared" ref="U20" si="23">1.5*$C20*K20</f>
        <v>0</v>
      </c>
      <c r="V20" s="13">
        <f t="shared" ref="V20" si="24">1.5*$C20*L20</f>
        <v>86.4</v>
      </c>
      <c r="W20" s="13">
        <f t="shared" ref="W20" si="25">1.5*$C20*M20</f>
        <v>0</v>
      </c>
      <c r="X20" s="15">
        <f t="shared" si="14"/>
        <v>532.80000000000007</v>
      </c>
      <c r="Y20" s="15">
        <f t="shared" si="15"/>
        <v>460.8</v>
      </c>
      <c r="Z20" s="15">
        <f t="shared" ref="Z20" si="26">P20+U20</f>
        <v>417.6</v>
      </c>
      <c r="AA20" s="15">
        <f t="shared" ref="AA20" si="27">Q20+V20</f>
        <v>720</v>
      </c>
      <c r="AB20" s="15">
        <f t="shared" ref="AB20" si="28">R20+W20</f>
        <v>288</v>
      </c>
      <c r="AD20" s="4">
        <f t="shared" si="16"/>
        <v>2419.2000000000003</v>
      </c>
    </row>
    <row r="23" spans="1:30">
      <c r="A23" t="s">
        <v>45</v>
      </c>
      <c r="C23" s="4">
        <f>MAX(C4:C20)</f>
        <v>24.8</v>
      </c>
      <c r="D23" s="4">
        <f t="shared" ref="D23:M23" si="29">MAX(D4:D20)</f>
        <v>50</v>
      </c>
      <c r="E23" s="4">
        <f t="shared" si="29"/>
        <v>65</v>
      </c>
      <c r="F23" s="4">
        <f t="shared" si="29"/>
        <v>58</v>
      </c>
      <c r="G23" s="4">
        <f t="shared" si="29"/>
        <v>66</v>
      </c>
      <c r="H23" s="4">
        <f t="shared" si="29"/>
        <v>60</v>
      </c>
      <c r="I23" s="4">
        <f t="shared" si="29"/>
        <v>10</v>
      </c>
      <c r="J23" s="4">
        <f t="shared" si="29"/>
        <v>25</v>
      </c>
      <c r="K23" s="4">
        <f t="shared" si="29"/>
        <v>18</v>
      </c>
      <c r="L23" s="4">
        <f t="shared" si="29"/>
        <v>26</v>
      </c>
      <c r="M23" s="4">
        <f t="shared" si="29"/>
        <v>20</v>
      </c>
      <c r="N23" s="4">
        <f>MAX(N4:N20)</f>
        <v>947.6</v>
      </c>
      <c r="O23" s="4">
        <f t="shared" ref="O23:AA23" si="30">MAX(O4:O20)</f>
        <v>1339</v>
      </c>
      <c r="P23" s="4">
        <f t="shared" si="30"/>
        <v>1194.8000000000002</v>
      </c>
      <c r="Q23" s="4">
        <f t="shared" si="30"/>
        <v>1359.6000000000001</v>
      </c>
      <c r="R23" s="4">
        <f t="shared" si="30"/>
        <v>1236</v>
      </c>
      <c r="S23" s="4">
        <f t="shared" si="30"/>
        <v>185.4</v>
      </c>
      <c r="T23" s="4">
        <f t="shared" si="30"/>
        <v>772.5</v>
      </c>
      <c r="U23" s="4">
        <f t="shared" si="30"/>
        <v>556.20000000000005</v>
      </c>
      <c r="V23" s="4">
        <f t="shared" si="30"/>
        <v>803.40000000000009</v>
      </c>
      <c r="W23" s="4">
        <f t="shared" si="30"/>
        <v>618</v>
      </c>
      <c r="X23" s="4">
        <f>MAX(X4:X20)</f>
        <v>1133</v>
      </c>
      <c r="Y23" s="4">
        <f t="shared" si="30"/>
        <v>2111.5</v>
      </c>
      <c r="Z23" s="4">
        <f t="shared" si="30"/>
        <v>1751.0000000000002</v>
      </c>
      <c r="AA23" s="4">
        <f t="shared" si="30"/>
        <v>2163</v>
      </c>
      <c r="AB23" s="4">
        <f>MAX(AB4:AB20)</f>
        <v>1854</v>
      </c>
      <c r="AD23" s="4">
        <f>MAX(AD4:AD20)</f>
        <v>9012.5</v>
      </c>
    </row>
    <row r="24" spans="1:30">
      <c r="A24" t="s">
        <v>46</v>
      </c>
      <c r="C24" s="4">
        <f>MIN(C4:C20)</f>
        <v>5.5</v>
      </c>
      <c r="D24" s="4">
        <f t="shared" ref="D24:M24" si="31">MIN(D4:D20)</f>
        <v>32</v>
      </c>
      <c r="E24" s="4">
        <f t="shared" si="31"/>
        <v>23</v>
      </c>
      <c r="F24" s="4">
        <f t="shared" si="31"/>
        <v>13</v>
      </c>
      <c r="G24" s="4">
        <f t="shared" si="31"/>
        <v>30</v>
      </c>
      <c r="H24" s="4">
        <f t="shared" si="31"/>
        <v>3</v>
      </c>
      <c r="I24" s="4">
        <f t="shared" si="31"/>
        <v>0</v>
      </c>
      <c r="J24" s="4">
        <f t="shared" si="31"/>
        <v>0</v>
      </c>
      <c r="K24" s="4">
        <f t="shared" si="31"/>
        <v>0</v>
      </c>
      <c r="L24" s="4">
        <f t="shared" si="31"/>
        <v>0</v>
      </c>
      <c r="M24" s="4">
        <f t="shared" si="31"/>
        <v>0</v>
      </c>
      <c r="N24" s="3">
        <f>MIN(N4:N20)</f>
        <v>242</v>
      </c>
      <c r="O24" s="3">
        <f t="shared" ref="O24:AB24" si="32">MIN(O4:O20)</f>
        <v>203.5</v>
      </c>
      <c r="P24" s="3">
        <f t="shared" si="32"/>
        <v>176</v>
      </c>
      <c r="Q24" s="3">
        <f t="shared" si="32"/>
        <v>214.5</v>
      </c>
      <c r="R24" s="3">
        <f t="shared" si="32"/>
        <v>74.400000000000006</v>
      </c>
      <c r="S24" s="3">
        <f t="shared" si="32"/>
        <v>0</v>
      </c>
      <c r="T24" s="3">
        <f t="shared" si="32"/>
        <v>0</v>
      </c>
      <c r="U24" s="3">
        <f t="shared" si="32"/>
        <v>0</v>
      </c>
      <c r="V24" s="3">
        <f t="shared" si="32"/>
        <v>0</v>
      </c>
      <c r="W24" s="3">
        <f t="shared" si="32"/>
        <v>0</v>
      </c>
      <c r="X24" s="3">
        <f t="shared" si="32"/>
        <v>257.39999999999998</v>
      </c>
      <c r="Y24" s="3">
        <f t="shared" si="32"/>
        <v>203.5</v>
      </c>
      <c r="Z24" s="3">
        <f t="shared" si="32"/>
        <v>176</v>
      </c>
      <c r="AA24" s="3">
        <f t="shared" si="32"/>
        <v>214.5</v>
      </c>
      <c r="AB24" s="3">
        <f t="shared" si="32"/>
        <v>74.400000000000006</v>
      </c>
      <c r="AD24" s="3">
        <f t="shared" ref="AD24" si="33">MIN(AD4:AD20)</f>
        <v>1039.5</v>
      </c>
    </row>
    <row r="25" spans="1:30">
      <c r="A25" t="s">
        <v>47</v>
      </c>
      <c r="C25" s="4">
        <f>AVERAGE(C4:C20)</f>
        <v>16.135294117647057</v>
      </c>
      <c r="D25" s="4">
        <f t="shared" ref="D25:M25" si="34">AVERAGE(D4:D20)</f>
        <v>39.764705882352942</v>
      </c>
      <c r="E25" s="4">
        <f t="shared" si="34"/>
        <v>41.941176470588232</v>
      </c>
      <c r="F25" s="4">
        <f t="shared" si="34"/>
        <v>35.941176470588232</v>
      </c>
      <c r="G25" s="4">
        <f t="shared" si="34"/>
        <v>43.941176470588232</v>
      </c>
      <c r="H25" s="4">
        <f t="shared" si="34"/>
        <v>34.352941176470587</v>
      </c>
      <c r="I25" s="4">
        <f t="shared" si="34"/>
        <v>1.9411764705882353</v>
      </c>
      <c r="J25" s="4">
        <f t="shared" si="34"/>
        <v>6.0588235294117645</v>
      </c>
      <c r="K25" s="4">
        <f t="shared" si="34"/>
        <v>3.7647058823529411</v>
      </c>
      <c r="L25" s="4">
        <f t="shared" si="34"/>
        <v>6.5882352941176467</v>
      </c>
      <c r="M25" s="4">
        <f t="shared" si="34"/>
        <v>3.8823529411764706</v>
      </c>
      <c r="N25" s="3">
        <f>AVERAGE(N4:N20)</f>
        <v>626.30000000000007</v>
      </c>
      <c r="O25" s="3">
        <f t="shared" ref="O25:AB25" si="35">AVERAGE(O4:O20)</f>
        <v>675.98823529411754</v>
      </c>
      <c r="P25" s="3">
        <f t="shared" si="35"/>
        <v>576.62352941176471</v>
      </c>
      <c r="Q25" s="3">
        <f t="shared" si="35"/>
        <v>720.01764705882351</v>
      </c>
      <c r="R25" s="3">
        <f t="shared" si="35"/>
        <v>547.564705882353</v>
      </c>
      <c r="S25" s="3">
        <f t="shared" si="35"/>
        <v>37.932352941176475</v>
      </c>
      <c r="T25" s="3">
        <f t="shared" si="35"/>
        <v>158.7705882352941</v>
      </c>
      <c r="U25" s="3">
        <f t="shared" si="35"/>
        <v>101.30294117647058</v>
      </c>
      <c r="V25" s="3">
        <f t="shared" si="35"/>
        <v>178.15588235294118</v>
      </c>
      <c r="W25" s="3">
        <f t="shared" si="35"/>
        <v>103.05</v>
      </c>
      <c r="X25" s="3">
        <f t="shared" si="35"/>
        <v>664.23235294117637</v>
      </c>
      <c r="Y25" s="3">
        <f t="shared" si="35"/>
        <v>834.75882352941176</v>
      </c>
      <c r="Z25" s="3">
        <f t="shared" si="35"/>
        <v>677.92647058823525</v>
      </c>
      <c r="AA25" s="3">
        <f t="shared" si="35"/>
        <v>898.17352941176466</v>
      </c>
      <c r="AB25" s="3">
        <f t="shared" si="35"/>
        <v>650.61470588235295</v>
      </c>
      <c r="AD25" s="3">
        <f t="shared" ref="AD25" si="36">AVERAGE(AD4:AD20)</f>
        <v>3725.7058823529405</v>
      </c>
    </row>
    <row r="27" spans="1:30">
      <c r="A27" t="s">
        <v>48</v>
      </c>
      <c r="D27">
        <f>SUM(D4:D20)</f>
        <v>676</v>
      </c>
      <c r="E27">
        <f t="shared" ref="E27:M27" si="37">SUM(E4:E20)</f>
        <v>713</v>
      </c>
      <c r="F27">
        <f t="shared" si="37"/>
        <v>611</v>
      </c>
      <c r="G27">
        <f t="shared" si="37"/>
        <v>747</v>
      </c>
      <c r="H27">
        <f t="shared" si="37"/>
        <v>584</v>
      </c>
      <c r="I27">
        <f t="shared" si="37"/>
        <v>33</v>
      </c>
      <c r="J27">
        <f t="shared" si="37"/>
        <v>103</v>
      </c>
      <c r="K27">
        <f t="shared" si="37"/>
        <v>64</v>
      </c>
      <c r="L27">
        <f t="shared" si="37"/>
        <v>112</v>
      </c>
      <c r="M27">
        <f t="shared" si="37"/>
        <v>66</v>
      </c>
      <c r="N27" s="3">
        <f>SUM(N4:N20)</f>
        <v>10647.1</v>
      </c>
      <c r="O27" s="3">
        <f t="shared" ref="O27:AB27" si="38">SUM(O4:O20)</f>
        <v>11491.799999999997</v>
      </c>
      <c r="P27" s="3">
        <f t="shared" si="38"/>
        <v>9802.6</v>
      </c>
      <c r="Q27" s="3">
        <f t="shared" si="38"/>
        <v>12240.3</v>
      </c>
      <c r="R27" s="3">
        <f t="shared" si="38"/>
        <v>9308.6</v>
      </c>
      <c r="S27" s="3">
        <f t="shared" si="38"/>
        <v>644.85</v>
      </c>
      <c r="T27" s="3">
        <f t="shared" si="38"/>
        <v>2699.1</v>
      </c>
      <c r="U27" s="3">
        <f t="shared" si="38"/>
        <v>1722.1499999999999</v>
      </c>
      <c r="V27" s="3">
        <f t="shared" si="38"/>
        <v>3028.65</v>
      </c>
      <c r="W27" s="3">
        <f t="shared" si="38"/>
        <v>1751.85</v>
      </c>
      <c r="X27" s="3">
        <f t="shared" si="38"/>
        <v>11291.949999999999</v>
      </c>
      <c r="Y27" s="3">
        <f t="shared" si="38"/>
        <v>14190.9</v>
      </c>
      <c r="Z27" s="3">
        <f t="shared" si="38"/>
        <v>11524.75</v>
      </c>
      <c r="AA27" s="3">
        <f t="shared" si="38"/>
        <v>15268.949999999999</v>
      </c>
      <c r="AB27" s="3">
        <f t="shared" si="38"/>
        <v>11060.45</v>
      </c>
      <c r="AD27" s="3">
        <f t="shared" ref="AD27" si="39">SUM(AD4:AD20)</f>
        <v>63336.999999999993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4957-6190-4E00-8047-3E6C2A4897DA}">
  <dimension ref="A1:M26"/>
  <sheetViews>
    <sheetView workbookViewId="0">
      <selection activeCell="AP16" sqref="AP16"/>
    </sheetView>
  </sheetViews>
  <sheetFormatPr defaultRowHeight="14.5"/>
  <cols>
    <col min="1" max="1" width="10.26953125" bestFit="1" customWidth="1"/>
    <col min="2" max="2" width="13.81640625" bestFit="1" customWidth="1"/>
    <col min="3" max="3" width="5.54296875" customWidth="1"/>
    <col min="4" max="4" width="7.54296875" customWidth="1"/>
    <col min="5" max="5" width="7.453125" customWidth="1"/>
    <col min="6" max="6" width="4" customWidth="1"/>
    <col min="13" max="13" width="9" customWidth="1"/>
  </cols>
  <sheetData>
    <row r="1" spans="1:13" ht="140.5">
      <c r="A1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G1" s="19"/>
      <c r="H1" s="18" t="s">
        <v>50</v>
      </c>
      <c r="I1" s="18" t="s">
        <v>51</v>
      </c>
      <c r="J1" s="18" t="s">
        <v>52</v>
      </c>
      <c r="K1" s="18" t="s">
        <v>53</v>
      </c>
      <c r="M1" s="17" t="s">
        <v>54</v>
      </c>
    </row>
    <row r="2" spans="1:13">
      <c r="B2" t="s">
        <v>55</v>
      </c>
      <c r="C2">
        <v>10</v>
      </c>
      <c r="D2">
        <v>20</v>
      </c>
      <c r="E2">
        <v>50</v>
      </c>
      <c r="F2">
        <v>1</v>
      </c>
    </row>
    <row r="3" spans="1:13">
      <c r="A3" s="2" t="s">
        <v>8</v>
      </c>
      <c r="B3" s="2" t="s">
        <v>9</v>
      </c>
    </row>
    <row r="4" spans="1:13">
      <c r="A4" t="s">
        <v>11</v>
      </c>
      <c r="B4" t="s">
        <v>12</v>
      </c>
      <c r="C4">
        <v>5</v>
      </c>
      <c r="D4">
        <v>12</v>
      </c>
      <c r="E4">
        <v>23</v>
      </c>
      <c r="F4">
        <v>1</v>
      </c>
      <c r="H4" s="16">
        <f>C4/C$2</f>
        <v>0.5</v>
      </c>
      <c r="I4" s="16">
        <f t="shared" ref="I4:K19" si="0">D4/D$2</f>
        <v>0.6</v>
      </c>
      <c r="J4" s="16">
        <f t="shared" si="0"/>
        <v>0.46</v>
      </c>
      <c r="K4" s="16">
        <f>F4/F$2</f>
        <v>1</v>
      </c>
      <c r="M4" t="b">
        <f>OR(H4&lt;0.5,I4&lt;0.5,J4&lt;0.5,K4&lt;0.5)</f>
        <v>1</v>
      </c>
    </row>
    <row r="5" spans="1:13">
      <c r="A5" t="s">
        <v>13</v>
      </c>
      <c r="B5" t="s">
        <v>14</v>
      </c>
      <c r="C5">
        <v>7</v>
      </c>
      <c r="D5">
        <v>13</v>
      </c>
      <c r="E5">
        <v>42</v>
      </c>
      <c r="F5">
        <v>1</v>
      </c>
      <c r="H5" s="16">
        <f t="shared" ref="H5:H20" si="1">C5/C$2</f>
        <v>0.7</v>
      </c>
      <c r="I5" s="16">
        <f t="shared" si="0"/>
        <v>0.65</v>
      </c>
      <c r="J5" s="16">
        <f t="shared" si="0"/>
        <v>0.84</v>
      </c>
      <c r="K5" s="16">
        <f t="shared" si="0"/>
        <v>1</v>
      </c>
      <c r="M5" t="b">
        <f t="shared" ref="M5:M20" si="2">OR(H5&lt;0.5,I5&lt;0.5,J5&lt;0.5,K5&lt;0.5)</f>
        <v>0</v>
      </c>
    </row>
    <row r="6" spans="1:13">
      <c r="A6" t="s">
        <v>15</v>
      </c>
      <c r="B6" t="s">
        <v>16</v>
      </c>
      <c r="C6">
        <v>8</v>
      </c>
      <c r="D6">
        <v>15</v>
      </c>
      <c r="E6">
        <v>35</v>
      </c>
      <c r="F6">
        <v>1</v>
      </c>
      <c r="H6" s="16">
        <f t="shared" si="1"/>
        <v>0.8</v>
      </c>
      <c r="I6" s="16">
        <f t="shared" si="0"/>
        <v>0.75</v>
      </c>
      <c r="J6" s="16">
        <f t="shared" si="0"/>
        <v>0.7</v>
      </c>
      <c r="K6" s="16">
        <f t="shared" si="0"/>
        <v>1</v>
      </c>
      <c r="M6" t="b">
        <f t="shared" si="2"/>
        <v>0</v>
      </c>
    </row>
    <row r="7" spans="1:13">
      <c r="A7" t="s">
        <v>17</v>
      </c>
      <c r="B7" t="s">
        <v>18</v>
      </c>
      <c r="C7">
        <v>9</v>
      </c>
      <c r="D7">
        <v>16</v>
      </c>
      <c r="E7">
        <v>22</v>
      </c>
      <c r="F7">
        <v>1</v>
      </c>
      <c r="H7" s="16">
        <f t="shared" si="1"/>
        <v>0.9</v>
      </c>
      <c r="I7" s="16">
        <f t="shared" si="0"/>
        <v>0.8</v>
      </c>
      <c r="J7" s="16">
        <f t="shared" si="0"/>
        <v>0.44</v>
      </c>
      <c r="K7" s="16">
        <f t="shared" si="0"/>
        <v>1</v>
      </c>
      <c r="M7" t="b">
        <f t="shared" si="2"/>
        <v>1</v>
      </c>
    </row>
    <row r="8" spans="1:13">
      <c r="A8" t="s">
        <v>19</v>
      </c>
      <c r="B8" t="s">
        <v>20</v>
      </c>
      <c r="C8">
        <v>2</v>
      </c>
      <c r="D8">
        <v>18</v>
      </c>
      <c r="E8">
        <v>26</v>
      </c>
      <c r="F8">
        <v>1</v>
      </c>
      <c r="H8" s="16">
        <f t="shared" si="1"/>
        <v>0.2</v>
      </c>
      <c r="I8" s="16">
        <f t="shared" si="0"/>
        <v>0.9</v>
      </c>
      <c r="J8" s="16">
        <f t="shared" si="0"/>
        <v>0.52</v>
      </c>
      <c r="K8" s="16">
        <f t="shared" si="0"/>
        <v>1</v>
      </c>
      <c r="M8" t="b">
        <f t="shared" si="2"/>
        <v>1</v>
      </c>
    </row>
    <row r="9" spans="1:13">
      <c r="A9" t="s">
        <v>21</v>
      </c>
      <c r="B9" t="s">
        <v>22</v>
      </c>
      <c r="C9">
        <v>4</v>
      </c>
      <c r="D9">
        <v>19</v>
      </c>
      <c r="E9">
        <v>38</v>
      </c>
      <c r="F9">
        <v>1</v>
      </c>
      <c r="H9" s="16">
        <f t="shared" si="1"/>
        <v>0.4</v>
      </c>
      <c r="I9" s="16">
        <f t="shared" si="0"/>
        <v>0.95</v>
      </c>
      <c r="J9" s="16">
        <f t="shared" si="0"/>
        <v>0.76</v>
      </c>
      <c r="K9" s="16">
        <f t="shared" si="0"/>
        <v>1</v>
      </c>
      <c r="M9" t="b">
        <f t="shared" si="2"/>
        <v>1</v>
      </c>
    </row>
    <row r="10" spans="1:13">
      <c r="A10" t="s">
        <v>23</v>
      </c>
      <c r="B10" t="s">
        <v>24</v>
      </c>
      <c r="C10">
        <v>1</v>
      </c>
      <c r="D10">
        <v>10</v>
      </c>
      <c r="E10">
        <v>44</v>
      </c>
      <c r="F10">
        <v>1</v>
      </c>
      <c r="H10" s="16">
        <f t="shared" si="1"/>
        <v>0.1</v>
      </c>
      <c r="I10" s="16">
        <f t="shared" si="0"/>
        <v>0.5</v>
      </c>
      <c r="J10" s="16">
        <f t="shared" si="0"/>
        <v>0.88</v>
      </c>
      <c r="K10" s="16">
        <f t="shared" si="0"/>
        <v>1</v>
      </c>
      <c r="M10" t="b">
        <f t="shared" si="2"/>
        <v>1</v>
      </c>
    </row>
    <row r="11" spans="1:13">
      <c r="A11" t="s">
        <v>25</v>
      </c>
      <c r="B11" t="s">
        <v>26</v>
      </c>
      <c r="C11">
        <v>5</v>
      </c>
      <c r="D11">
        <v>2</v>
      </c>
      <c r="E11">
        <v>49</v>
      </c>
      <c r="F11">
        <v>0</v>
      </c>
      <c r="H11" s="16">
        <f t="shared" si="1"/>
        <v>0.5</v>
      </c>
      <c r="I11" s="16">
        <f t="shared" si="0"/>
        <v>0.1</v>
      </c>
      <c r="J11" s="16">
        <f t="shared" si="0"/>
        <v>0.98</v>
      </c>
      <c r="K11" s="16">
        <f t="shared" si="0"/>
        <v>0</v>
      </c>
      <c r="M11" t="b">
        <f t="shared" si="2"/>
        <v>1</v>
      </c>
    </row>
    <row r="12" spans="1:13">
      <c r="A12" t="s">
        <v>27</v>
      </c>
      <c r="B12" t="s">
        <v>28</v>
      </c>
      <c r="C12">
        <v>6</v>
      </c>
      <c r="D12">
        <v>13</v>
      </c>
      <c r="E12">
        <v>50</v>
      </c>
      <c r="F12">
        <v>0</v>
      </c>
      <c r="H12" s="16">
        <f t="shared" si="1"/>
        <v>0.6</v>
      </c>
      <c r="I12" s="16">
        <f t="shared" si="0"/>
        <v>0.65</v>
      </c>
      <c r="J12" s="16">
        <f t="shared" si="0"/>
        <v>1</v>
      </c>
      <c r="K12" s="16">
        <f t="shared" si="0"/>
        <v>0</v>
      </c>
      <c r="M12" t="b">
        <f t="shared" si="2"/>
        <v>1</v>
      </c>
    </row>
    <row r="13" spans="1:13">
      <c r="A13" t="s">
        <v>29</v>
      </c>
      <c r="B13" t="s">
        <v>30</v>
      </c>
      <c r="C13">
        <v>9</v>
      </c>
      <c r="D13">
        <v>11</v>
      </c>
      <c r="E13">
        <v>29</v>
      </c>
      <c r="F13">
        <v>1</v>
      </c>
      <c r="H13" s="16">
        <f t="shared" si="1"/>
        <v>0.9</v>
      </c>
      <c r="I13" s="16">
        <f t="shared" si="0"/>
        <v>0.55000000000000004</v>
      </c>
      <c r="J13" s="16">
        <f t="shared" si="0"/>
        <v>0.57999999999999996</v>
      </c>
      <c r="K13" s="16">
        <f t="shared" si="0"/>
        <v>1</v>
      </c>
      <c r="M13" t="b">
        <f t="shared" si="2"/>
        <v>0</v>
      </c>
    </row>
    <row r="14" spans="1:13">
      <c r="A14" t="s">
        <v>31</v>
      </c>
      <c r="B14" t="s">
        <v>32</v>
      </c>
      <c r="C14">
        <v>2</v>
      </c>
      <c r="D14">
        <v>19</v>
      </c>
      <c r="E14">
        <v>49</v>
      </c>
      <c r="F14">
        <v>0</v>
      </c>
      <c r="H14" s="16">
        <f t="shared" si="1"/>
        <v>0.2</v>
      </c>
      <c r="I14" s="16">
        <f t="shared" si="0"/>
        <v>0.95</v>
      </c>
      <c r="J14" s="16">
        <f t="shared" si="0"/>
        <v>0.98</v>
      </c>
      <c r="K14" s="16">
        <f t="shared" si="0"/>
        <v>0</v>
      </c>
      <c r="M14" t="b">
        <f t="shared" si="2"/>
        <v>1</v>
      </c>
    </row>
    <row r="15" spans="1:13">
      <c r="A15" t="s">
        <v>33</v>
      </c>
      <c r="B15" t="s">
        <v>34</v>
      </c>
      <c r="C15">
        <v>8</v>
      </c>
      <c r="D15">
        <v>10</v>
      </c>
      <c r="E15">
        <v>19</v>
      </c>
      <c r="F15">
        <v>1</v>
      </c>
      <c r="H15" s="16">
        <f t="shared" si="1"/>
        <v>0.8</v>
      </c>
      <c r="I15" s="16">
        <f t="shared" si="0"/>
        <v>0.5</v>
      </c>
      <c r="J15" s="16">
        <f t="shared" si="0"/>
        <v>0.38</v>
      </c>
      <c r="K15" s="16">
        <f t="shared" si="0"/>
        <v>1</v>
      </c>
      <c r="M15" t="b">
        <f t="shared" si="2"/>
        <v>1</v>
      </c>
    </row>
    <row r="16" spans="1:13">
      <c r="A16" t="s">
        <v>35</v>
      </c>
      <c r="B16" t="s">
        <v>36</v>
      </c>
      <c r="C16">
        <v>5</v>
      </c>
      <c r="D16">
        <v>17</v>
      </c>
      <c r="E16">
        <v>26</v>
      </c>
      <c r="F16">
        <v>1</v>
      </c>
      <c r="H16" s="16">
        <f t="shared" si="1"/>
        <v>0.5</v>
      </c>
      <c r="I16" s="16">
        <f t="shared" si="0"/>
        <v>0.85</v>
      </c>
      <c r="J16" s="16">
        <f t="shared" si="0"/>
        <v>0.52</v>
      </c>
      <c r="K16" s="16">
        <f t="shared" si="0"/>
        <v>1</v>
      </c>
      <c r="M16" t="b">
        <f t="shared" si="2"/>
        <v>0</v>
      </c>
    </row>
    <row r="17" spans="1:13">
      <c r="A17" t="s">
        <v>37</v>
      </c>
      <c r="B17" t="s">
        <v>38</v>
      </c>
      <c r="C17">
        <v>2</v>
      </c>
      <c r="D17">
        <v>13</v>
      </c>
      <c r="E17">
        <v>30</v>
      </c>
      <c r="F17">
        <v>0</v>
      </c>
      <c r="H17" s="16">
        <f t="shared" si="1"/>
        <v>0.2</v>
      </c>
      <c r="I17" s="16">
        <f t="shared" si="0"/>
        <v>0.65</v>
      </c>
      <c r="J17" s="16">
        <f t="shared" si="0"/>
        <v>0.6</v>
      </c>
      <c r="K17" s="16">
        <f t="shared" si="0"/>
        <v>0</v>
      </c>
      <c r="M17" t="b">
        <f t="shared" si="2"/>
        <v>1</v>
      </c>
    </row>
    <row r="18" spans="1:13">
      <c r="A18" t="s">
        <v>39</v>
      </c>
      <c r="B18" t="s">
        <v>40</v>
      </c>
      <c r="C18">
        <v>4</v>
      </c>
      <c r="D18">
        <v>8</v>
      </c>
      <c r="E18">
        <v>42</v>
      </c>
      <c r="F18">
        <v>0</v>
      </c>
      <c r="H18" s="16">
        <f t="shared" si="1"/>
        <v>0.4</v>
      </c>
      <c r="I18" s="16">
        <f t="shared" si="0"/>
        <v>0.4</v>
      </c>
      <c r="J18" s="16">
        <f t="shared" si="0"/>
        <v>0.84</v>
      </c>
      <c r="K18" s="16">
        <f t="shared" si="0"/>
        <v>0</v>
      </c>
      <c r="M18" t="b">
        <f t="shared" si="2"/>
        <v>1</v>
      </c>
    </row>
    <row r="19" spans="1:13">
      <c r="A19" t="s">
        <v>41</v>
      </c>
      <c r="B19" t="s">
        <v>42</v>
      </c>
      <c r="C19">
        <v>6</v>
      </c>
      <c r="D19">
        <v>9</v>
      </c>
      <c r="E19">
        <v>41</v>
      </c>
      <c r="F19">
        <v>1</v>
      </c>
      <c r="H19" s="16">
        <f t="shared" si="1"/>
        <v>0.6</v>
      </c>
      <c r="I19" s="16">
        <f t="shared" si="0"/>
        <v>0.45</v>
      </c>
      <c r="J19" s="16">
        <f t="shared" si="0"/>
        <v>0.82</v>
      </c>
      <c r="K19" s="16">
        <f t="shared" si="0"/>
        <v>1</v>
      </c>
      <c r="M19" t="b">
        <f t="shared" si="2"/>
        <v>1</v>
      </c>
    </row>
    <row r="20" spans="1:13">
      <c r="A20" t="s">
        <v>43</v>
      </c>
      <c r="B20" t="s">
        <v>44</v>
      </c>
      <c r="C20">
        <v>7</v>
      </c>
      <c r="D20">
        <v>5</v>
      </c>
      <c r="E20">
        <v>40</v>
      </c>
      <c r="F20">
        <v>1</v>
      </c>
      <c r="H20" s="16">
        <f t="shared" si="1"/>
        <v>0.7</v>
      </c>
      <c r="I20" s="16">
        <f t="shared" ref="I20" si="3">D20/D$2</f>
        <v>0.25</v>
      </c>
      <c r="J20" s="16">
        <f t="shared" ref="J20:K20" si="4">E20/E$2</f>
        <v>0.8</v>
      </c>
      <c r="K20" s="16">
        <f t="shared" si="4"/>
        <v>1</v>
      </c>
      <c r="M20" t="b">
        <f t="shared" si="2"/>
        <v>1</v>
      </c>
    </row>
    <row r="24" spans="1:13">
      <c r="A24" t="s">
        <v>45</v>
      </c>
      <c r="C24">
        <f>MAX(C4:C20)</f>
        <v>9</v>
      </c>
      <c r="D24">
        <f t="shared" ref="D24:F24" si="5">MAX(D4:D20)</f>
        <v>19</v>
      </c>
      <c r="E24">
        <f t="shared" si="5"/>
        <v>50</v>
      </c>
      <c r="F24">
        <f t="shared" si="5"/>
        <v>1</v>
      </c>
      <c r="H24" s="16">
        <f>MAX(H4:H20)</f>
        <v>0.9</v>
      </c>
      <c r="I24" s="16">
        <f t="shared" ref="I24:K24" si="6">MAX(I4:I20)</f>
        <v>0.95</v>
      </c>
      <c r="J24" s="16">
        <f t="shared" si="6"/>
        <v>1</v>
      </c>
      <c r="K24" s="16">
        <f t="shared" si="6"/>
        <v>1</v>
      </c>
    </row>
    <row r="25" spans="1:13">
      <c r="A25" t="s">
        <v>46</v>
      </c>
      <c r="C25">
        <f>MIN(C4:C20)</f>
        <v>1</v>
      </c>
      <c r="D25">
        <f t="shared" ref="D25:F25" si="7">MIN(D4:D20)</f>
        <v>2</v>
      </c>
      <c r="E25">
        <f t="shared" si="7"/>
        <v>19</v>
      </c>
      <c r="F25">
        <f t="shared" si="7"/>
        <v>0</v>
      </c>
      <c r="H25" s="16">
        <f>MIN(H4:H20)</f>
        <v>0.1</v>
      </c>
      <c r="I25" s="16">
        <f t="shared" ref="I25:K25" si="8">MIN(I4:I20)</f>
        <v>0.1</v>
      </c>
      <c r="J25" s="16">
        <f t="shared" si="8"/>
        <v>0.38</v>
      </c>
      <c r="K25" s="16">
        <f t="shared" si="8"/>
        <v>0</v>
      </c>
    </row>
    <row r="26" spans="1:13">
      <c r="A26" t="s">
        <v>47</v>
      </c>
      <c r="C26" s="20">
        <f>AVERAGE(C4:C20)</f>
        <v>5.2941176470588234</v>
      </c>
      <c r="D26" s="20">
        <f t="shared" ref="D26:F26" si="9">AVERAGE(D4:D20)</f>
        <v>12.352941176470589</v>
      </c>
      <c r="E26" s="20">
        <f t="shared" si="9"/>
        <v>35.588235294117645</v>
      </c>
      <c r="F26" s="20">
        <f t="shared" si="9"/>
        <v>0.70588235294117652</v>
      </c>
      <c r="H26" s="16">
        <f>AVERAGE(H4:H20)</f>
        <v>0.52941176470588236</v>
      </c>
      <c r="I26" s="16">
        <f t="shared" ref="I26:K26" si="10">AVERAGE(I4:I20)</f>
        <v>0.61764705882352944</v>
      </c>
      <c r="J26" s="16">
        <f t="shared" si="10"/>
        <v>0.71176470588235308</v>
      </c>
      <c r="K26" s="16">
        <f t="shared" si="10"/>
        <v>0.70588235294117652</v>
      </c>
    </row>
  </sheetData>
  <conditionalFormatting sqref="C4:C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">
    <cfRule type="cellIs" dxfId="2" priority="6" operator="lessThan">
      <formula>0.5</formula>
    </cfRule>
  </conditionalFormatting>
  <conditionalFormatting sqref="M4:M20">
    <cfRule type="cellIs" dxfId="1" priority="5" operator="equal">
      <formula>TRUE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21AA-E2EA-4BBA-BF93-4873A9AEEAA5}">
  <dimension ref="A1:L10"/>
  <sheetViews>
    <sheetView workbookViewId="0">
      <selection activeCell="P7" sqref="P7"/>
    </sheetView>
  </sheetViews>
  <sheetFormatPr defaultRowHeight="14.5"/>
  <cols>
    <col min="1" max="1" width="19.1796875" customWidth="1"/>
    <col min="4" max="4" width="10" bestFit="1" customWidth="1"/>
    <col min="5" max="5" width="10" customWidth="1"/>
    <col min="10" max="10" width="9.26953125" bestFit="1" customWidth="1"/>
    <col min="11" max="11" width="9.26953125" customWidth="1"/>
  </cols>
  <sheetData>
    <row r="1" spans="1:12">
      <c r="A1" t="s">
        <v>56</v>
      </c>
    </row>
    <row r="4" spans="1:12">
      <c r="A4" t="s">
        <v>57</v>
      </c>
      <c r="B4" s="1" t="s">
        <v>4</v>
      </c>
      <c r="C4" s="1">
        <v>3</v>
      </c>
      <c r="D4" s="21" t="s">
        <v>58</v>
      </c>
      <c r="E4" s="21">
        <v>5</v>
      </c>
      <c r="F4" s="22" t="s">
        <v>59</v>
      </c>
      <c r="G4" s="22">
        <v>4</v>
      </c>
      <c r="H4" s="7" t="s">
        <v>60</v>
      </c>
      <c r="I4" s="7">
        <v>2</v>
      </c>
      <c r="J4" s="23" t="s">
        <v>61</v>
      </c>
      <c r="K4" s="23">
        <v>1</v>
      </c>
      <c r="L4" t="s">
        <v>48</v>
      </c>
    </row>
    <row r="5" spans="1:12">
      <c r="A5" t="s">
        <v>62</v>
      </c>
      <c r="B5" s="1">
        <v>5</v>
      </c>
      <c r="C5" s="1">
        <f>C$4*B5</f>
        <v>15</v>
      </c>
      <c r="D5" s="21">
        <v>2</v>
      </c>
      <c r="E5" s="21">
        <f>E$4*D5</f>
        <v>10</v>
      </c>
      <c r="F5" s="22">
        <v>5</v>
      </c>
      <c r="G5" s="22">
        <f>G$4*F5</f>
        <v>20</v>
      </c>
      <c r="H5" s="7">
        <v>5</v>
      </c>
      <c r="I5" s="7">
        <f>I$4*H5</f>
        <v>10</v>
      </c>
      <c r="J5" s="23">
        <v>4</v>
      </c>
      <c r="K5" s="23">
        <f>K$4*J5</f>
        <v>4</v>
      </c>
      <c r="L5">
        <f>SUM(B5:J5)</f>
        <v>76</v>
      </c>
    </row>
    <row r="6" spans="1:12">
      <c r="A6" t="s">
        <v>63</v>
      </c>
      <c r="B6" s="1">
        <v>3</v>
      </c>
      <c r="C6" s="1">
        <f>C$4*B6</f>
        <v>9</v>
      </c>
      <c r="D6" s="21">
        <v>3</v>
      </c>
      <c r="E6" s="21">
        <f>E$4*D6</f>
        <v>15</v>
      </c>
      <c r="F6" s="22">
        <v>2</v>
      </c>
      <c r="G6" s="22">
        <f>G$4*F6</f>
        <v>8</v>
      </c>
      <c r="H6" s="7">
        <v>2</v>
      </c>
      <c r="I6" s="7">
        <f>I$4*H6</f>
        <v>4</v>
      </c>
      <c r="J6" s="23">
        <v>3</v>
      </c>
      <c r="K6" s="23">
        <f>K$4*J6</f>
        <v>3</v>
      </c>
      <c r="L6">
        <f t="shared" ref="L6:L10" si="0">SUM(B6:J6)</f>
        <v>49</v>
      </c>
    </row>
    <row r="7" spans="1:12">
      <c r="A7" t="s">
        <v>64</v>
      </c>
      <c r="B7" s="1">
        <v>2</v>
      </c>
      <c r="C7" s="1">
        <f t="shared" ref="C7:E10" si="1">C$4*B7</f>
        <v>6</v>
      </c>
      <c r="D7" s="21">
        <v>2</v>
      </c>
      <c r="E7" s="21">
        <f t="shared" si="1"/>
        <v>10</v>
      </c>
      <c r="F7" s="22">
        <v>3</v>
      </c>
      <c r="G7" s="22">
        <f t="shared" ref="G7" si="2">G$4*F7</f>
        <v>12</v>
      </c>
      <c r="H7" s="7">
        <v>3</v>
      </c>
      <c r="I7" s="7">
        <f t="shared" ref="I7" si="3">I$4*H7</f>
        <v>6</v>
      </c>
      <c r="J7" s="23">
        <v>2</v>
      </c>
      <c r="K7" s="23">
        <f t="shared" ref="K7" si="4">K$4*J7</f>
        <v>2</v>
      </c>
      <c r="L7">
        <f t="shared" si="0"/>
        <v>46</v>
      </c>
    </row>
    <row r="8" spans="1:12">
      <c r="A8" t="s">
        <v>65</v>
      </c>
      <c r="B8" s="1">
        <v>3</v>
      </c>
      <c r="C8" s="1">
        <f t="shared" si="1"/>
        <v>9</v>
      </c>
      <c r="D8" s="21">
        <v>1</v>
      </c>
      <c r="E8" s="21">
        <f t="shared" si="1"/>
        <v>5</v>
      </c>
      <c r="F8" s="22">
        <v>1</v>
      </c>
      <c r="G8" s="22">
        <f t="shared" ref="G8" si="5">G$4*F8</f>
        <v>4</v>
      </c>
      <c r="H8" s="7">
        <v>1</v>
      </c>
      <c r="I8" s="7">
        <f t="shared" ref="I8" si="6">I$4*H8</f>
        <v>2</v>
      </c>
      <c r="J8" s="23">
        <v>3</v>
      </c>
      <c r="K8" s="23">
        <f t="shared" ref="K8" si="7">K$4*J8</f>
        <v>3</v>
      </c>
      <c r="L8">
        <f t="shared" si="0"/>
        <v>29</v>
      </c>
    </row>
    <row r="9" spans="1:12">
      <c r="A9" t="s">
        <v>66</v>
      </c>
      <c r="B9" s="1">
        <v>4</v>
      </c>
      <c r="C9" s="1">
        <f t="shared" si="1"/>
        <v>12</v>
      </c>
      <c r="D9" s="21">
        <v>4</v>
      </c>
      <c r="E9" s="21">
        <f t="shared" si="1"/>
        <v>20</v>
      </c>
      <c r="F9" s="22">
        <v>3</v>
      </c>
      <c r="G9" s="22">
        <f t="shared" ref="G9" si="8">G$4*F9</f>
        <v>12</v>
      </c>
      <c r="H9" s="7">
        <v>4</v>
      </c>
      <c r="I9" s="7">
        <f t="shared" ref="I9" si="9">I$4*H9</f>
        <v>8</v>
      </c>
      <c r="J9" s="23">
        <v>5</v>
      </c>
      <c r="K9" s="23">
        <f t="shared" ref="K9" si="10">K$4*J9</f>
        <v>5</v>
      </c>
      <c r="L9">
        <f t="shared" si="0"/>
        <v>72</v>
      </c>
    </row>
    <row r="10" spans="1:12">
      <c r="A10" t="s">
        <v>67</v>
      </c>
      <c r="B10" s="1">
        <v>3</v>
      </c>
      <c r="C10" s="1">
        <f t="shared" si="1"/>
        <v>9</v>
      </c>
      <c r="D10" s="21">
        <v>3</v>
      </c>
      <c r="E10" s="21">
        <f t="shared" si="1"/>
        <v>15</v>
      </c>
      <c r="F10" s="22">
        <v>2</v>
      </c>
      <c r="G10" s="22">
        <f t="shared" ref="G10" si="11">G$4*F10</f>
        <v>8</v>
      </c>
      <c r="H10" s="7">
        <v>2</v>
      </c>
      <c r="I10" s="7">
        <f t="shared" ref="I10" si="12">I$4*H10</f>
        <v>4</v>
      </c>
      <c r="J10" s="23">
        <v>2</v>
      </c>
      <c r="K10" s="23">
        <f t="shared" ref="K10" si="13">K$4*J10</f>
        <v>2</v>
      </c>
      <c r="L10">
        <f t="shared" si="0"/>
        <v>48</v>
      </c>
    </row>
  </sheetData>
  <conditionalFormatting sqref="L5:L10">
    <cfRule type="top10" dxfId="0" priority="1" percent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0035-CD60-4AE7-87CE-C394A3A69A18}">
  <dimension ref="A1:K177"/>
  <sheetViews>
    <sheetView workbookViewId="0"/>
  </sheetViews>
  <sheetFormatPr defaultRowHeight="14.5"/>
  <cols>
    <col min="1" max="1" width="33.453125" bestFit="1" customWidth="1"/>
    <col min="2" max="2" width="20.1796875" bestFit="1" customWidth="1"/>
    <col min="3" max="3" width="13.7265625" bestFit="1" customWidth="1"/>
    <col min="4" max="4" width="19.54296875" bestFit="1" customWidth="1"/>
    <col min="5" max="5" width="10.7265625" bestFit="1" customWidth="1"/>
    <col min="6" max="6" width="12.1796875" customWidth="1"/>
    <col min="8" max="9" width="16" bestFit="1" customWidth="1"/>
    <col min="10" max="10" width="16" customWidth="1"/>
    <col min="11" max="11" width="13.453125" bestFit="1" customWidth="1"/>
  </cols>
  <sheetData>
    <row r="1" spans="1:11" ht="77.5">
      <c r="A1" s="26" t="s">
        <v>68</v>
      </c>
      <c r="B1" s="26" t="s">
        <v>69</v>
      </c>
      <c r="C1" s="26" t="s">
        <v>70</v>
      </c>
      <c r="D1" s="26" t="s">
        <v>71</v>
      </c>
      <c r="E1" s="26" t="s">
        <v>72</v>
      </c>
      <c r="F1" s="26" t="s">
        <v>73</v>
      </c>
      <c r="G1" s="26" t="s">
        <v>74</v>
      </c>
      <c r="H1" s="26" t="s">
        <v>75</v>
      </c>
      <c r="I1" s="26" t="s">
        <v>9</v>
      </c>
      <c r="J1" s="26" t="s">
        <v>8</v>
      </c>
      <c r="K1" s="26" t="s">
        <v>76</v>
      </c>
    </row>
    <row r="2" spans="1:11" ht="15.5">
      <c r="A2" s="24" t="s">
        <v>77</v>
      </c>
      <c r="B2" s="25">
        <v>1001</v>
      </c>
      <c r="C2" s="24">
        <v>9822</v>
      </c>
      <c r="D2" s="24" t="s">
        <v>78</v>
      </c>
      <c r="E2" s="27">
        <v>58.3</v>
      </c>
      <c r="F2" s="27">
        <v>98.4</v>
      </c>
      <c r="G2" s="27">
        <f>F2-E2</f>
        <v>40.100000000000009</v>
      </c>
      <c r="H2" s="27">
        <f>IF(F2&gt;50,G2*0.2,G2*0.1)</f>
        <v>8.0200000000000014</v>
      </c>
      <c r="I2" s="24" t="s">
        <v>79</v>
      </c>
      <c r="J2" s="24" t="s">
        <v>80</v>
      </c>
      <c r="K2" s="24" t="s">
        <v>81</v>
      </c>
    </row>
    <row r="3" spans="1:11" ht="15.5">
      <c r="A3" s="24" t="s">
        <v>77</v>
      </c>
      <c r="B3" s="25">
        <v>1002</v>
      </c>
      <c r="C3" s="24">
        <v>2877</v>
      </c>
      <c r="D3" s="24" t="s">
        <v>82</v>
      </c>
      <c r="E3" s="27">
        <v>11.4</v>
      </c>
      <c r="F3" s="27">
        <v>16.3</v>
      </c>
      <c r="G3" s="27">
        <f t="shared" ref="G3:G66" si="0">F3-E3</f>
        <v>4.9000000000000004</v>
      </c>
      <c r="H3" s="27">
        <f t="shared" ref="H3:H66" si="1">IF(F3&gt;50,G3*0.2,G3*0.1)</f>
        <v>0.49000000000000005</v>
      </c>
      <c r="I3" s="24" t="s">
        <v>83</v>
      </c>
      <c r="J3" s="24" t="s">
        <v>84</v>
      </c>
      <c r="K3" s="24" t="s">
        <v>85</v>
      </c>
    </row>
    <row r="4" spans="1:11" ht="15.5">
      <c r="A4" s="24" t="s">
        <v>77</v>
      </c>
      <c r="B4" s="25">
        <v>1003</v>
      </c>
      <c r="C4" s="24">
        <v>2499</v>
      </c>
      <c r="D4" s="24" t="s">
        <v>86</v>
      </c>
      <c r="E4" s="27">
        <v>6.2</v>
      </c>
      <c r="F4" s="27">
        <v>9.1999999999999993</v>
      </c>
      <c r="G4" s="27">
        <f t="shared" si="0"/>
        <v>2.9999999999999991</v>
      </c>
      <c r="H4" s="27">
        <f t="shared" si="1"/>
        <v>0.29999999999999993</v>
      </c>
      <c r="I4" s="24" t="s">
        <v>87</v>
      </c>
      <c r="J4" s="24" t="s">
        <v>88</v>
      </c>
      <c r="K4" s="24" t="s">
        <v>89</v>
      </c>
    </row>
    <row r="5" spans="1:11" ht="15.5">
      <c r="A5" s="24" t="s">
        <v>77</v>
      </c>
      <c r="B5" s="25">
        <v>1004</v>
      </c>
      <c r="C5" s="24">
        <v>8722</v>
      </c>
      <c r="D5" s="24" t="s">
        <v>90</v>
      </c>
      <c r="E5" s="27">
        <v>344</v>
      </c>
      <c r="F5" s="27">
        <v>502</v>
      </c>
      <c r="G5" s="27">
        <f t="shared" si="0"/>
        <v>158</v>
      </c>
      <c r="H5" s="27">
        <f t="shared" si="1"/>
        <v>31.6</v>
      </c>
      <c r="I5" s="24" t="s">
        <v>79</v>
      </c>
      <c r="J5" s="24" t="s">
        <v>80</v>
      </c>
      <c r="K5" s="24" t="s">
        <v>89</v>
      </c>
    </row>
    <row r="6" spans="1:11" ht="15.5">
      <c r="A6" s="24" t="s">
        <v>77</v>
      </c>
      <c r="B6" s="25">
        <v>1005</v>
      </c>
      <c r="C6" s="24">
        <v>1109</v>
      </c>
      <c r="D6" s="24" t="s">
        <v>91</v>
      </c>
      <c r="E6" s="27">
        <v>3</v>
      </c>
      <c r="F6" s="27">
        <v>8</v>
      </c>
      <c r="G6" s="27">
        <f t="shared" si="0"/>
        <v>5</v>
      </c>
      <c r="H6" s="27">
        <f t="shared" si="1"/>
        <v>0.5</v>
      </c>
      <c r="I6" s="24" t="s">
        <v>87</v>
      </c>
      <c r="J6" s="24" t="s">
        <v>88</v>
      </c>
      <c r="K6" s="24" t="s">
        <v>89</v>
      </c>
    </row>
    <row r="7" spans="1:11" ht="15.5">
      <c r="A7" s="24" t="s">
        <v>77</v>
      </c>
      <c r="B7" s="25">
        <v>1006</v>
      </c>
      <c r="C7" s="24">
        <v>9822</v>
      </c>
      <c r="D7" s="24" t="s">
        <v>78</v>
      </c>
      <c r="E7" s="27">
        <v>58.3</v>
      </c>
      <c r="F7" s="27">
        <v>98.4</v>
      </c>
      <c r="G7" s="27">
        <f t="shared" si="0"/>
        <v>40.100000000000009</v>
      </c>
      <c r="H7" s="27">
        <f t="shared" si="1"/>
        <v>8.0200000000000014</v>
      </c>
      <c r="I7" s="24" t="s">
        <v>87</v>
      </c>
      <c r="J7" s="24" t="s">
        <v>88</v>
      </c>
      <c r="K7" s="24" t="s">
        <v>89</v>
      </c>
    </row>
    <row r="8" spans="1:11" ht="15.5">
      <c r="A8" s="24" t="s">
        <v>77</v>
      </c>
      <c r="B8" s="25">
        <v>1007</v>
      </c>
      <c r="C8" s="24">
        <v>1109</v>
      </c>
      <c r="D8" s="24" t="s">
        <v>91</v>
      </c>
      <c r="E8" s="27">
        <v>3</v>
      </c>
      <c r="F8" s="27">
        <v>8</v>
      </c>
      <c r="G8" s="27">
        <f t="shared" si="0"/>
        <v>5</v>
      </c>
      <c r="H8" s="27">
        <f t="shared" si="1"/>
        <v>0.5</v>
      </c>
      <c r="I8" s="24" t="s">
        <v>92</v>
      </c>
      <c r="J8" s="24" t="s">
        <v>93</v>
      </c>
      <c r="K8" s="24" t="s">
        <v>81</v>
      </c>
    </row>
    <row r="9" spans="1:11" ht="15.5">
      <c r="A9" s="24" t="s">
        <v>77</v>
      </c>
      <c r="B9" s="25">
        <v>1008</v>
      </c>
      <c r="C9" s="24">
        <v>2877</v>
      </c>
      <c r="D9" s="24" t="s">
        <v>82</v>
      </c>
      <c r="E9" s="27">
        <v>11.4</v>
      </c>
      <c r="F9" s="27">
        <v>16.3</v>
      </c>
      <c r="G9" s="27">
        <f t="shared" si="0"/>
        <v>4.9000000000000004</v>
      </c>
      <c r="H9" s="27">
        <f t="shared" si="1"/>
        <v>0.49000000000000005</v>
      </c>
      <c r="I9" s="24" t="s">
        <v>87</v>
      </c>
      <c r="J9" s="24" t="s">
        <v>88</v>
      </c>
      <c r="K9" s="24" t="s">
        <v>81</v>
      </c>
    </row>
    <row r="10" spans="1:11" ht="15.5">
      <c r="A10" s="24" t="s">
        <v>77</v>
      </c>
      <c r="B10" s="25">
        <v>1009</v>
      </c>
      <c r="C10" s="24">
        <v>1109</v>
      </c>
      <c r="D10" s="24" t="s">
        <v>91</v>
      </c>
      <c r="E10" s="27">
        <v>3</v>
      </c>
      <c r="F10" s="27">
        <v>8</v>
      </c>
      <c r="G10" s="27">
        <f t="shared" si="0"/>
        <v>5</v>
      </c>
      <c r="H10" s="27">
        <f t="shared" si="1"/>
        <v>0.5</v>
      </c>
      <c r="I10" s="24" t="s">
        <v>87</v>
      </c>
      <c r="J10" s="24" t="s">
        <v>88</v>
      </c>
      <c r="K10" s="24" t="s">
        <v>89</v>
      </c>
    </row>
    <row r="11" spans="1:11" ht="15.5">
      <c r="A11" s="24" t="s">
        <v>77</v>
      </c>
      <c r="B11" s="25">
        <v>1010</v>
      </c>
      <c r="C11" s="24">
        <v>2877</v>
      </c>
      <c r="D11" s="24" t="s">
        <v>82</v>
      </c>
      <c r="E11" s="27">
        <v>11.4</v>
      </c>
      <c r="F11" s="27">
        <v>16.3</v>
      </c>
      <c r="G11" s="27">
        <f t="shared" si="0"/>
        <v>4.9000000000000004</v>
      </c>
      <c r="H11" s="27">
        <f t="shared" si="1"/>
        <v>0.49000000000000005</v>
      </c>
      <c r="I11" s="24" t="s">
        <v>83</v>
      </c>
      <c r="J11" s="24" t="s">
        <v>84</v>
      </c>
      <c r="K11" s="24" t="s">
        <v>94</v>
      </c>
    </row>
    <row r="12" spans="1:11" ht="15.5">
      <c r="A12" s="24" t="s">
        <v>77</v>
      </c>
      <c r="B12" s="25">
        <v>1011</v>
      </c>
      <c r="C12" s="24">
        <v>2877</v>
      </c>
      <c r="D12" s="24" t="s">
        <v>82</v>
      </c>
      <c r="E12" s="27">
        <v>11.4</v>
      </c>
      <c r="F12" s="27">
        <v>16.3</v>
      </c>
      <c r="G12" s="27">
        <f t="shared" si="0"/>
        <v>4.9000000000000004</v>
      </c>
      <c r="H12" s="27">
        <f t="shared" si="1"/>
        <v>0.49000000000000005</v>
      </c>
      <c r="I12" s="24" t="s">
        <v>83</v>
      </c>
      <c r="J12" s="24" t="s">
        <v>84</v>
      </c>
      <c r="K12" s="24" t="s">
        <v>89</v>
      </c>
    </row>
    <row r="13" spans="1:11" ht="15.5">
      <c r="A13" s="24" t="s">
        <v>77</v>
      </c>
      <c r="B13" s="25">
        <v>1012</v>
      </c>
      <c r="C13" s="24">
        <v>4421</v>
      </c>
      <c r="D13" s="24" t="s">
        <v>95</v>
      </c>
      <c r="E13" s="27">
        <v>45</v>
      </c>
      <c r="F13" s="27">
        <v>87</v>
      </c>
      <c r="G13" s="27">
        <f t="shared" si="0"/>
        <v>42</v>
      </c>
      <c r="H13" s="27">
        <f t="shared" si="1"/>
        <v>8.4</v>
      </c>
      <c r="I13" s="24" t="s">
        <v>87</v>
      </c>
      <c r="J13" s="24" t="s">
        <v>88</v>
      </c>
      <c r="K13" s="24" t="s">
        <v>81</v>
      </c>
    </row>
    <row r="14" spans="1:11" ht="15.5">
      <c r="A14" s="24" t="s">
        <v>77</v>
      </c>
      <c r="B14" s="25">
        <v>1013</v>
      </c>
      <c r="C14" s="24">
        <v>9212</v>
      </c>
      <c r="D14" s="24" t="s">
        <v>96</v>
      </c>
      <c r="E14" s="27">
        <v>4</v>
      </c>
      <c r="F14" s="27">
        <v>7</v>
      </c>
      <c r="G14" s="27">
        <f t="shared" si="0"/>
        <v>3</v>
      </c>
      <c r="H14" s="27">
        <f t="shared" si="1"/>
        <v>0.30000000000000004</v>
      </c>
      <c r="I14" s="24" t="s">
        <v>92</v>
      </c>
      <c r="J14" s="24" t="s">
        <v>93</v>
      </c>
      <c r="K14" s="24" t="s">
        <v>94</v>
      </c>
    </row>
    <row r="15" spans="1:11" ht="15.5">
      <c r="A15" s="24" t="s">
        <v>77</v>
      </c>
      <c r="B15" s="25">
        <v>1014</v>
      </c>
      <c r="C15" s="24">
        <v>8722</v>
      </c>
      <c r="D15" s="24" t="s">
        <v>90</v>
      </c>
      <c r="E15" s="27">
        <v>344</v>
      </c>
      <c r="F15" s="27">
        <v>502</v>
      </c>
      <c r="G15" s="27">
        <f t="shared" si="0"/>
        <v>158</v>
      </c>
      <c r="H15" s="27">
        <f t="shared" si="1"/>
        <v>31.6</v>
      </c>
      <c r="I15" s="24" t="s">
        <v>79</v>
      </c>
      <c r="J15" s="24" t="s">
        <v>80</v>
      </c>
      <c r="K15" s="24" t="s">
        <v>85</v>
      </c>
    </row>
    <row r="16" spans="1:11" ht="15.5">
      <c r="A16" s="24" t="s">
        <v>77</v>
      </c>
      <c r="B16" s="25">
        <v>1015</v>
      </c>
      <c r="C16" s="24">
        <v>2877</v>
      </c>
      <c r="D16" s="24" t="s">
        <v>82</v>
      </c>
      <c r="E16" s="27">
        <v>11.4</v>
      </c>
      <c r="F16" s="27">
        <v>16.3</v>
      </c>
      <c r="G16" s="27">
        <f t="shared" si="0"/>
        <v>4.9000000000000004</v>
      </c>
      <c r="H16" s="27">
        <f t="shared" si="1"/>
        <v>0.49000000000000005</v>
      </c>
      <c r="I16" s="24" t="s">
        <v>92</v>
      </c>
      <c r="J16" s="24" t="s">
        <v>93</v>
      </c>
      <c r="K16" s="24" t="s">
        <v>89</v>
      </c>
    </row>
    <row r="17" spans="1:11" ht="15.5">
      <c r="A17" s="24" t="s">
        <v>77</v>
      </c>
      <c r="B17" s="25">
        <v>1016</v>
      </c>
      <c r="C17" s="24">
        <v>2499</v>
      </c>
      <c r="D17" s="24" t="s">
        <v>86</v>
      </c>
      <c r="E17" s="27">
        <v>6.2</v>
      </c>
      <c r="F17" s="27">
        <v>9.1999999999999993</v>
      </c>
      <c r="G17" s="27">
        <f t="shared" si="0"/>
        <v>2.9999999999999991</v>
      </c>
      <c r="H17" s="27">
        <f t="shared" si="1"/>
        <v>0.29999999999999993</v>
      </c>
      <c r="I17" s="24" t="s">
        <v>87</v>
      </c>
      <c r="J17" s="24" t="s">
        <v>88</v>
      </c>
      <c r="K17" s="24" t="s">
        <v>85</v>
      </c>
    </row>
    <row r="18" spans="1:11" ht="15.5">
      <c r="A18" s="24" t="s">
        <v>97</v>
      </c>
      <c r="B18" s="25">
        <v>1017</v>
      </c>
      <c r="C18" s="24">
        <v>2242</v>
      </c>
      <c r="D18" s="24" t="s">
        <v>98</v>
      </c>
      <c r="E18" s="27">
        <v>60</v>
      </c>
      <c r="F18" s="27">
        <v>124</v>
      </c>
      <c r="G18" s="27">
        <f t="shared" si="0"/>
        <v>64</v>
      </c>
      <c r="H18" s="27">
        <f t="shared" si="1"/>
        <v>12.8</v>
      </c>
      <c r="I18" s="24" t="s">
        <v>83</v>
      </c>
      <c r="J18" s="24" t="s">
        <v>84</v>
      </c>
      <c r="K18" s="24" t="s">
        <v>81</v>
      </c>
    </row>
    <row r="19" spans="1:11" ht="15.5">
      <c r="A19" s="24" t="s">
        <v>97</v>
      </c>
      <c r="B19" s="25">
        <v>1018</v>
      </c>
      <c r="C19" s="24">
        <v>1109</v>
      </c>
      <c r="D19" s="24" t="s">
        <v>91</v>
      </c>
      <c r="E19" s="27">
        <v>3</v>
      </c>
      <c r="F19" s="27">
        <v>8</v>
      </c>
      <c r="G19" s="27">
        <f t="shared" si="0"/>
        <v>5</v>
      </c>
      <c r="H19" s="27">
        <f t="shared" si="1"/>
        <v>0.5</v>
      </c>
      <c r="I19" s="24" t="s">
        <v>87</v>
      </c>
      <c r="J19" s="24" t="s">
        <v>88</v>
      </c>
      <c r="K19" s="24" t="s">
        <v>85</v>
      </c>
    </row>
    <row r="20" spans="1:11" ht="15.5">
      <c r="A20" s="24" t="s">
        <v>97</v>
      </c>
      <c r="B20" s="25">
        <v>1019</v>
      </c>
      <c r="C20" s="24">
        <v>2499</v>
      </c>
      <c r="D20" s="24" t="s">
        <v>86</v>
      </c>
      <c r="E20" s="27">
        <v>6.2</v>
      </c>
      <c r="F20" s="27">
        <v>9.1999999999999993</v>
      </c>
      <c r="G20" s="27">
        <f t="shared" si="0"/>
        <v>2.9999999999999991</v>
      </c>
      <c r="H20" s="27">
        <f t="shared" si="1"/>
        <v>0.29999999999999993</v>
      </c>
      <c r="I20" s="24" t="s">
        <v>87</v>
      </c>
      <c r="J20" s="24" t="s">
        <v>88</v>
      </c>
      <c r="K20" s="24" t="s">
        <v>94</v>
      </c>
    </row>
    <row r="21" spans="1:11" ht="15.5">
      <c r="A21" s="24" t="s">
        <v>97</v>
      </c>
      <c r="B21" s="25">
        <v>1020</v>
      </c>
      <c r="C21" s="24">
        <v>2499</v>
      </c>
      <c r="D21" s="24" t="s">
        <v>86</v>
      </c>
      <c r="E21" s="27">
        <v>6.2</v>
      </c>
      <c r="F21" s="27">
        <v>9.1999999999999993</v>
      </c>
      <c r="G21" s="27">
        <f t="shared" si="0"/>
        <v>2.9999999999999991</v>
      </c>
      <c r="H21" s="27">
        <f t="shared" si="1"/>
        <v>0.29999999999999993</v>
      </c>
      <c r="I21" s="24" t="s">
        <v>87</v>
      </c>
      <c r="J21" s="24" t="s">
        <v>88</v>
      </c>
      <c r="K21" s="24" t="s">
        <v>99</v>
      </c>
    </row>
    <row r="22" spans="1:11" ht="15.5">
      <c r="A22" s="24" t="s">
        <v>97</v>
      </c>
      <c r="B22" s="25">
        <v>1021</v>
      </c>
      <c r="C22" s="24">
        <v>1109</v>
      </c>
      <c r="D22" s="24" t="s">
        <v>91</v>
      </c>
      <c r="E22" s="27">
        <v>3</v>
      </c>
      <c r="F22" s="27">
        <v>8</v>
      </c>
      <c r="G22" s="27">
        <f t="shared" si="0"/>
        <v>5</v>
      </c>
      <c r="H22" s="27">
        <f t="shared" si="1"/>
        <v>0.5</v>
      </c>
      <c r="I22" s="24" t="s">
        <v>83</v>
      </c>
      <c r="J22" s="24" t="s">
        <v>84</v>
      </c>
      <c r="K22" s="24" t="s">
        <v>94</v>
      </c>
    </row>
    <row r="23" spans="1:11" ht="15.5">
      <c r="A23" s="24" t="s">
        <v>97</v>
      </c>
      <c r="B23" s="25">
        <v>1022</v>
      </c>
      <c r="C23" s="24">
        <v>2877</v>
      </c>
      <c r="D23" s="24" t="s">
        <v>82</v>
      </c>
      <c r="E23" s="27">
        <v>11.4</v>
      </c>
      <c r="F23" s="27">
        <v>16.3</v>
      </c>
      <c r="G23" s="27">
        <f t="shared" si="0"/>
        <v>4.9000000000000004</v>
      </c>
      <c r="H23" s="27">
        <f t="shared" si="1"/>
        <v>0.49000000000000005</v>
      </c>
      <c r="I23" s="24" t="s">
        <v>87</v>
      </c>
      <c r="J23" s="24" t="s">
        <v>88</v>
      </c>
      <c r="K23" s="24" t="s">
        <v>100</v>
      </c>
    </row>
    <row r="24" spans="1:11" ht="15.5">
      <c r="A24" s="24" t="s">
        <v>97</v>
      </c>
      <c r="B24" s="25">
        <v>1023</v>
      </c>
      <c r="C24" s="24">
        <v>1109</v>
      </c>
      <c r="D24" s="24" t="s">
        <v>91</v>
      </c>
      <c r="E24" s="27">
        <v>3</v>
      </c>
      <c r="F24" s="27">
        <v>8</v>
      </c>
      <c r="G24" s="27">
        <f t="shared" si="0"/>
        <v>5</v>
      </c>
      <c r="H24" s="27">
        <f t="shared" si="1"/>
        <v>0.5</v>
      </c>
      <c r="I24" s="24" t="s">
        <v>92</v>
      </c>
      <c r="J24" s="24" t="s">
        <v>93</v>
      </c>
      <c r="K24" s="24" t="s">
        <v>81</v>
      </c>
    </row>
    <row r="25" spans="1:11" ht="15.5">
      <c r="A25" s="24" t="s">
        <v>97</v>
      </c>
      <c r="B25" s="25">
        <v>1024</v>
      </c>
      <c r="C25" s="24">
        <v>9212</v>
      </c>
      <c r="D25" s="24" t="s">
        <v>96</v>
      </c>
      <c r="E25" s="27">
        <v>4</v>
      </c>
      <c r="F25" s="27">
        <v>7</v>
      </c>
      <c r="G25" s="27">
        <f t="shared" si="0"/>
        <v>3</v>
      </c>
      <c r="H25" s="27">
        <f t="shared" si="1"/>
        <v>0.30000000000000004</v>
      </c>
      <c r="I25" s="24" t="s">
        <v>83</v>
      </c>
      <c r="J25" s="24" t="s">
        <v>84</v>
      </c>
      <c r="K25" s="24" t="s">
        <v>100</v>
      </c>
    </row>
    <row r="26" spans="1:11" ht="15.5">
      <c r="A26" s="24" t="s">
        <v>97</v>
      </c>
      <c r="B26" s="25">
        <v>1025</v>
      </c>
      <c r="C26" s="24">
        <v>2877</v>
      </c>
      <c r="D26" s="24" t="s">
        <v>82</v>
      </c>
      <c r="E26" s="27">
        <v>11.4</v>
      </c>
      <c r="F26" s="27">
        <v>16.3</v>
      </c>
      <c r="G26" s="27">
        <f t="shared" si="0"/>
        <v>4.9000000000000004</v>
      </c>
      <c r="H26" s="27">
        <f t="shared" si="1"/>
        <v>0.49000000000000005</v>
      </c>
      <c r="I26" s="24" t="s">
        <v>92</v>
      </c>
      <c r="J26" s="24" t="s">
        <v>93</v>
      </c>
      <c r="K26" s="24" t="s">
        <v>99</v>
      </c>
    </row>
    <row r="27" spans="1:11" ht="15.5">
      <c r="A27" s="24" t="s">
        <v>97</v>
      </c>
      <c r="B27" s="25">
        <v>1026</v>
      </c>
      <c r="C27" s="24">
        <v>6119</v>
      </c>
      <c r="D27" s="24" t="s">
        <v>101</v>
      </c>
      <c r="E27" s="27">
        <v>9</v>
      </c>
      <c r="F27" s="27">
        <v>14</v>
      </c>
      <c r="G27" s="27">
        <f t="shared" si="0"/>
        <v>5</v>
      </c>
      <c r="H27" s="27">
        <f t="shared" si="1"/>
        <v>0.5</v>
      </c>
      <c r="I27" s="24" t="s">
        <v>92</v>
      </c>
      <c r="J27" s="24" t="s">
        <v>93</v>
      </c>
      <c r="K27" s="24" t="s">
        <v>81</v>
      </c>
    </row>
    <row r="28" spans="1:11" ht="15.5">
      <c r="A28" s="24" t="s">
        <v>97</v>
      </c>
      <c r="B28" s="25">
        <v>1027</v>
      </c>
      <c r="C28" s="24">
        <v>6119</v>
      </c>
      <c r="D28" s="24" t="s">
        <v>101</v>
      </c>
      <c r="E28" s="27">
        <v>9</v>
      </c>
      <c r="F28" s="27">
        <v>14</v>
      </c>
      <c r="G28" s="27">
        <f t="shared" si="0"/>
        <v>5</v>
      </c>
      <c r="H28" s="27">
        <f t="shared" si="1"/>
        <v>0.5</v>
      </c>
      <c r="I28" s="24" t="s">
        <v>79</v>
      </c>
      <c r="J28" s="24" t="s">
        <v>80</v>
      </c>
      <c r="K28" s="24" t="s">
        <v>99</v>
      </c>
    </row>
    <row r="29" spans="1:11" ht="15.5">
      <c r="A29" s="24" t="s">
        <v>97</v>
      </c>
      <c r="B29" s="25">
        <v>1028</v>
      </c>
      <c r="C29" s="24">
        <v>8722</v>
      </c>
      <c r="D29" s="24" t="s">
        <v>90</v>
      </c>
      <c r="E29" s="27">
        <v>344</v>
      </c>
      <c r="F29" s="27">
        <v>502</v>
      </c>
      <c r="G29" s="27">
        <f t="shared" si="0"/>
        <v>158</v>
      </c>
      <c r="H29" s="27">
        <f t="shared" si="1"/>
        <v>31.6</v>
      </c>
      <c r="I29" s="24" t="s">
        <v>79</v>
      </c>
      <c r="J29" s="24" t="s">
        <v>80</v>
      </c>
      <c r="K29" s="24" t="s">
        <v>89</v>
      </c>
    </row>
    <row r="30" spans="1:11" ht="15.5">
      <c r="A30" s="24" t="s">
        <v>97</v>
      </c>
      <c r="B30" s="25">
        <v>1029</v>
      </c>
      <c r="C30" s="24">
        <v>2499</v>
      </c>
      <c r="D30" s="24" t="s">
        <v>86</v>
      </c>
      <c r="E30" s="27">
        <v>6.2</v>
      </c>
      <c r="F30" s="27">
        <v>9.1999999999999993</v>
      </c>
      <c r="G30" s="27">
        <f t="shared" si="0"/>
        <v>2.9999999999999991</v>
      </c>
      <c r="H30" s="27">
        <f t="shared" si="1"/>
        <v>0.29999999999999993</v>
      </c>
      <c r="I30" s="24" t="s">
        <v>83</v>
      </c>
      <c r="J30" s="24" t="s">
        <v>84</v>
      </c>
      <c r="K30" s="24" t="s">
        <v>89</v>
      </c>
    </row>
    <row r="31" spans="1:11" ht="15.5">
      <c r="A31" s="24" t="s">
        <v>97</v>
      </c>
      <c r="B31" s="25">
        <v>1030</v>
      </c>
      <c r="C31" s="24">
        <v>4421</v>
      </c>
      <c r="D31" s="24" t="s">
        <v>95</v>
      </c>
      <c r="E31" s="27">
        <v>45</v>
      </c>
      <c r="F31" s="27">
        <v>87</v>
      </c>
      <c r="G31" s="27">
        <f t="shared" si="0"/>
        <v>42</v>
      </c>
      <c r="H31" s="27">
        <f t="shared" si="1"/>
        <v>8.4</v>
      </c>
      <c r="I31" s="24" t="s">
        <v>83</v>
      </c>
      <c r="J31" s="24" t="s">
        <v>84</v>
      </c>
      <c r="K31" s="24" t="s">
        <v>99</v>
      </c>
    </row>
    <row r="32" spans="1:11" ht="15.5">
      <c r="A32" s="24" t="s">
        <v>97</v>
      </c>
      <c r="B32" s="25">
        <v>1031</v>
      </c>
      <c r="C32" s="24">
        <v>1109</v>
      </c>
      <c r="D32" s="24" t="s">
        <v>91</v>
      </c>
      <c r="E32" s="27">
        <v>3</v>
      </c>
      <c r="F32" s="27">
        <v>8</v>
      </c>
      <c r="G32" s="27">
        <f t="shared" si="0"/>
        <v>5</v>
      </c>
      <c r="H32" s="27">
        <f t="shared" si="1"/>
        <v>0.5</v>
      </c>
      <c r="I32" s="24" t="s">
        <v>83</v>
      </c>
      <c r="J32" s="24" t="s">
        <v>84</v>
      </c>
      <c r="K32" s="24" t="s">
        <v>85</v>
      </c>
    </row>
    <row r="33" spans="1:11" ht="15.5">
      <c r="A33" s="24" t="s">
        <v>97</v>
      </c>
      <c r="B33" s="25">
        <v>1032</v>
      </c>
      <c r="C33" s="24">
        <v>2877</v>
      </c>
      <c r="D33" s="24" t="s">
        <v>82</v>
      </c>
      <c r="E33" s="27">
        <v>11.4</v>
      </c>
      <c r="F33" s="27">
        <v>16.3</v>
      </c>
      <c r="G33" s="27">
        <f t="shared" si="0"/>
        <v>4.9000000000000004</v>
      </c>
      <c r="H33" s="27">
        <f t="shared" si="1"/>
        <v>0.49000000000000005</v>
      </c>
      <c r="I33" s="24" t="s">
        <v>79</v>
      </c>
      <c r="J33" s="24" t="s">
        <v>80</v>
      </c>
      <c r="K33" s="24" t="s">
        <v>89</v>
      </c>
    </row>
    <row r="34" spans="1:11" ht="15.5">
      <c r="A34" s="24" t="s">
        <v>97</v>
      </c>
      <c r="B34" s="25">
        <v>1033</v>
      </c>
      <c r="C34" s="24">
        <v>9822</v>
      </c>
      <c r="D34" s="24" t="s">
        <v>78</v>
      </c>
      <c r="E34" s="27">
        <v>58.3</v>
      </c>
      <c r="F34" s="27">
        <v>98.4</v>
      </c>
      <c r="G34" s="27">
        <f t="shared" si="0"/>
        <v>40.100000000000009</v>
      </c>
      <c r="H34" s="27">
        <f t="shared" si="1"/>
        <v>8.0200000000000014</v>
      </c>
      <c r="I34" s="24" t="s">
        <v>83</v>
      </c>
      <c r="J34" s="24" t="s">
        <v>84</v>
      </c>
      <c r="K34" s="24" t="s">
        <v>85</v>
      </c>
    </row>
    <row r="35" spans="1:11" ht="15.5">
      <c r="A35" s="24" t="s">
        <v>97</v>
      </c>
      <c r="B35" s="25">
        <v>1034</v>
      </c>
      <c r="C35" s="24">
        <v>2877</v>
      </c>
      <c r="D35" s="24" t="s">
        <v>82</v>
      </c>
      <c r="E35" s="27">
        <v>11.4</v>
      </c>
      <c r="F35" s="27">
        <v>16.3</v>
      </c>
      <c r="G35" s="27">
        <f t="shared" si="0"/>
        <v>4.9000000000000004</v>
      </c>
      <c r="H35" s="27">
        <f t="shared" si="1"/>
        <v>0.49000000000000005</v>
      </c>
      <c r="I35" s="24" t="s">
        <v>83</v>
      </c>
      <c r="J35" s="24" t="s">
        <v>84</v>
      </c>
      <c r="K35" s="24" t="s">
        <v>94</v>
      </c>
    </row>
    <row r="36" spans="1:11" ht="15.5">
      <c r="A36" s="24" t="s">
        <v>102</v>
      </c>
      <c r="B36" s="25">
        <v>1035</v>
      </c>
      <c r="C36" s="24">
        <v>2499</v>
      </c>
      <c r="D36" s="24" t="s">
        <v>86</v>
      </c>
      <c r="E36" s="27">
        <v>6.2</v>
      </c>
      <c r="F36" s="27">
        <v>9.1999999999999993</v>
      </c>
      <c r="G36" s="27">
        <f t="shared" si="0"/>
        <v>2.9999999999999991</v>
      </c>
      <c r="H36" s="27">
        <f t="shared" si="1"/>
        <v>0.29999999999999993</v>
      </c>
      <c r="I36" s="24" t="s">
        <v>92</v>
      </c>
      <c r="J36" s="24" t="s">
        <v>93</v>
      </c>
      <c r="K36" s="24" t="s">
        <v>85</v>
      </c>
    </row>
    <row r="37" spans="1:11" ht="15.5">
      <c r="A37" s="24" t="s">
        <v>102</v>
      </c>
      <c r="B37" s="25">
        <v>1036</v>
      </c>
      <c r="C37" s="24">
        <v>2499</v>
      </c>
      <c r="D37" s="24" t="s">
        <v>86</v>
      </c>
      <c r="E37" s="27">
        <v>6.2</v>
      </c>
      <c r="F37" s="27">
        <v>9.1999999999999993</v>
      </c>
      <c r="G37" s="27">
        <f t="shared" si="0"/>
        <v>2.9999999999999991</v>
      </c>
      <c r="H37" s="27">
        <f t="shared" si="1"/>
        <v>0.29999999999999993</v>
      </c>
      <c r="I37" s="24" t="s">
        <v>83</v>
      </c>
      <c r="J37" s="24" t="s">
        <v>84</v>
      </c>
      <c r="K37" s="24" t="s">
        <v>99</v>
      </c>
    </row>
    <row r="38" spans="1:11" ht="15.5">
      <c r="A38" s="24" t="s">
        <v>102</v>
      </c>
      <c r="B38" s="25">
        <v>1037</v>
      </c>
      <c r="C38" s="24">
        <v>6622</v>
      </c>
      <c r="D38" s="24" t="s">
        <v>103</v>
      </c>
      <c r="E38" s="27">
        <v>42</v>
      </c>
      <c r="F38" s="27">
        <v>77</v>
      </c>
      <c r="G38" s="27">
        <f t="shared" si="0"/>
        <v>35</v>
      </c>
      <c r="H38" s="27">
        <f t="shared" si="1"/>
        <v>7</v>
      </c>
      <c r="I38" s="24" t="s">
        <v>83</v>
      </c>
      <c r="J38" s="24" t="s">
        <v>84</v>
      </c>
      <c r="K38" s="24" t="s">
        <v>99</v>
      </c>
    </row>
    <row r="39" spans="1:11" ht="15.5">
      <c r="A39" s="24" t="s">
        <v>102</v>
      </c>
      <c r="B39" s="25">
        <v>1038</v>
      </c>
      <c r="C39" s="24">
        <v>2499</v>
      </c>
      <c r="D39" s="24" t="s">
        <v>86</v>
      </c>
      <c r="E39" s="27">
        <v>6.2</v>
      </c>
      <c r="F39" s="27">
        <v>9.1999999999999993</v>
      </c>
      <c r="G39" s="27">
        <f t="shared" si="0"/>
        <v>2.9999999999999991</v>
      </c>
      <c r="H39" s="27">
        <f t="shared" si="1"/>
        <v>0.29999999999999993</v>
      </c>
      <c r="I39" s="24" t="s">
        <v>83</v>
      </c>
      <c r="J39" s="24" t="s">
        <v>84</v>
      </c>
      <c r="K39" s="24" t="s">
        <v>99</v>
      </c>
    </row>
    <row r="40" spans="1:11" ht="15.5">
      <c r="A40" s="24" t="s">
        <v>102</v>
      </c>
      <c r="B40" s="25">
        <v>1039</v>
      </c>
      <c r="C40" s="24">
        <v>2877</v>
      </c>
      <c r="D40" s="24" t="s">
        <v>82</v>
      </c>
      <c r="E40" s="27">
        <v>11.4</v>
      </c>
      <c r="F40" s="27">
        <v>16.3</v>
      </c>
      <c r="G40" s="27">
        <f t="shared" si="0"/>
        <v>4.9000000000000004</v>
      </c>
      <c r="H40" s="27">
        <f t="shared" si="1"/>
        <v>0.49000000000000005</v>
      </c>
      <c r="I40" s="24" t="s">
        <v>83</v>
      </c>
      <c r="J40" s="24" t="s">
        <v>84</v>
      </c>
      <c r="K40" s="24" t="s">
        <v>85</v>
      </c>
    </row>
    <row r="41" spans="1:11" ht="15.5">
      <c r="A41" s="24" t="s">
        <v>102</v>
      </c>
      <c r="B41" s="25">
        <v>1040</v>
      </c>
      <c r="C41" s="24">
        <v>1109</v>
      </c>
      <c r="D41" s="24" t="s">
        <v>91</v>
      </c>
      <c r="E41" s="27">
        <v>3</v>
      </c>
      <c r="F41" s="27">
        <v>8</v>
      </c>
      <c r="G41" s="27">
        <f t="shared" si="0"/>
        <v>5</v>
      </c>
      <c r="H41" s="27">
        <f t="shared" si="1"/>
        <v>0.5</v>
      </c>
      <c r="I41" s="24" t="s">
        <v>83</v>
      </c>
      <c r="J41" s="24" t="s">
        <v>84</v>
      </c>
      <c r="K41" s="24" t="s">
        <v>89</v>
      </c>
    </row>
    <row r="42" spans="1:11" ht="15.5">
      <c r="A42" s="24" t="s">
        <v>102</v>
      </c>
      <c r="B42" s="25">
        <v>1041</v>
      </c>
      <c r="C42" s="24">
        <v>2499</v>
      </c>
      <c r="D42" s="24" t="s">
        <v>86</v>
      </c>
      <c r="E42" s="27">
        <v>6.2</v>
      </c>
      <c r="F42" s="27">
        <v>9.1999999999999993</v>
      </c>
      <c r="G42" s="27">
        <f t="shared" si="0"/>
        <v>2.9999999999999991</v>
      </c>
      <c r="H42" s="27">
        <f t="shared" si="1"/>
        <v>0.29999999999999993</v>
      </c>
      <c r="I42" s="24" t="s">
        <v>79</v>
      </c>
      <c r="J42" s="24" t="s">
        <v>80</v>
      </c>
      <c r="K42" s="24" t="s">
        <v>81</v>
      </c>
    </row>
    <row r="43" spans="1:11" ht="15.5">
      <c r="A43" s="24" t="s">
        <v>102</v>
      </c>
      <c r="B43" s="25">
        <v>1042</v>
      </c>
      <c r="C43" s="24">
        <v>8722</v>
      </c>
      <c r="D43" s="24" t="s">
        <v>90</v>
      </c>
      <c r="E43" s="27">
        <v>344</v>
      </c>
      <c r="F43" s="27">
        <v>502</v>
      </c>
      <c r="G43" s="27">
        <f t="shared" si="0"/>
        <v>158</v>
      </c>
      <c r="H43" s="27">
        <f t="shared" si="1"/>
        <v>31.6</v>
      </c>
      <c r="I43" s="24" t="s">
        <v>87</v>
      </c>
      <c r="J43" s="24" t="s">
        <v>88</v>
      </c>
      <c r="K43" s="24" t="s">
        <v>81</v>
      </c>
    </row>
    <row r="44" spans="1:11" ht="15.5">
      <c r="A44" s="24" t="s">
        <v>102</v>
      </c>
      <c r="B44" s="25">
        <v>1043</v>
      </c>
      <c r="C44" s="24">
        <v>2242</v>
      </c>
      <c r="D44" s="24" t="s">
        <v>98</v>
      </c>
      <c r="E44" s="27">
        <v>60</v>
      </c>
      <c r="F44" s="27">
        <v>124</v>
      </c>
      <c r="G44" s="27">
        <f t="shared" si="0"/>
        <v>64</v>
      </c>
      <c r="H44" s="27">
        <f t="shared" si="1"/>
        <v>12.8</v>
      </c>
      <c r="I44" s="24" t="s">
        <v>87</v>
      </c>
      <c r="J44" s="24" t="s">
        <v>88</v>
      </c>
      <c r="K44" s="24" t="s">
        <v>85</v>
      </c>
    </row>
    <row r="45" spans="1:11" ht="15.5">
      <c r="A45" s="24" t="s">
        <v>102</v>
      </c>
      <c r="B45" s="25">
        <v>1044</v>
      </c>
      <c r="C45" s="24">
        <v>2877</v>
      </c>
      <c r="D45" s="24" t="s">
        <v>82</v>
      </c>
      <c r="E45" s="27">
        <v>11.4</v>
      </c>
      <c r="F45" s="27">
        <v>16.3</v>
      </c>
      <c r="G45" s="27">
        <f t="shared" si="0"/>
        <v>4.9000000000000004</v>
      </c>
      <c r="H45" s="27">
        <f t="shared" si="1"/>
        <v>0.49000000000000005</v>
      </c>
      <c r="I45" s="24" t="s">
        <v>87</v>
      </c>
      <c r="J45" s="24" t="s">
        <v>88</v>
      </c>
      <c r="K45" s="24" t="s">
        <v>85</v>
      </c>
    </row>
    <row r="46" spans="1:11" ht="15.5">
      <c r="A46" s="24" t="s">
        <v>102</v>
      </c>
      <c r="B46" s="25">
        <v>1045</v>
      </c>
      <c r="C46" s="24">
        <v>8722</v>
      </c>
      <c r="D46" s="24" t="s">
        <v>90</v>
      </c>
      <c r="E46" s="27">
        <v>344</v>
      </c>
      <c r="F46" s="27">
        <v>502</v>
      </c>
      <c r="G46" s="27">
        <f t="shared" si="0"/>
        <v>158</v>
      </c>
      <c r="H46" s="27">
        <f t="shared" si="1"/>
        <v>31.6</v>
      </c>
      <c r="I46" s="24" t="s">
        <v>92</v>
      </c>
      <c r="J46" s="24" t="s">
        <v>93</v>
      </c>
      <c r="K46" s="24" t="s">
        <v>89</v>
      </c>
    </row>
    <row r="47" spans="1:11" ht="15.5">
      <c r="A47" s="24" t="s">
        <v>102</v>
      </c>
      <c r="B47" s="25">
        <v>1046</v>
      </c>
      <c r="C47" s="24">
        <v>6119</v>
      </c>
      <c r="D47" s="24" t="s">
        <v>101</v>
      </c>
      <c r="E47" s="27">
        <v>9</v>
      </c>
      <c r="F47" s="27">
        <v>14</v>
      </c>
      <c r="G47" s="27">
        <f t="shared" si="0"/>
        <v>5</v>
      </c>
      <c r="H47" s="27">
        <f t="shared" si="1"/>
        <v>0.5</v>
      </c>
      <c r="I47" s="24" t="s">
        <v>83</v>
      </c>
      <c r="J47" s="24" t="s">
        <v>84</v>
      </c>
      <c r="K47" s="24" t="s">
        <v>100</v>
      </c>
    </row>
    <row r="48" spans="1:11" ht="15.5">
      <c r="A48" s="24" t="s">
        <v>102</v>
      </c>
      <c r="B48" s="25">
        <v>1047</v>
      </c>
      <c r="C48" s="24">
        <v>6622</v>
      </c>
      <c r="D48" s="24" t="s">
        <v>103</v>
      </c>
      <c r="E48" s="27">
        <v>42</v>
      </c>
      <c r="F48" s="27">
        <v>77</v>
      </c>
      <c r="G48" s="27">
        <f t="shared" si="0"/>
        <v>35</v>
      </c>
      <c r="H48" s="27">
        <f t="shared" si="1"/>
        <v>7</v>
      </c>
      <c r="I48" s="24" t="s">
        <v>92</v>
      </c>
      <c r="J48" s="24" t="s">
        <v>93</v>
      </c>
      <c r="K48" s="24" t="s">
        <v>89</v>
      </c>
    </row>
    <row r="49" spans="1:11" ht="15.5">
      <c r="A49" s="24" t="s">
        <v>102</v>
      </c>
      <c r="B49" s="25">
        <v>1048</v>
      </c>
      <c r="C49" s="24">
        <v>8722</v>
      </c>
      <c r="D49" s="24" t="s">
        <v>90</v>
      </c>
      <c r="E49" s="27">
        <v>344</v>
      </c>
      <c r="F49" s="27">
        <v>502</v>
      </c>
      <c r="G49" s="27">
        <f t="shared" si="0"/>
        <v>158</v>
      </c>
      <c r="H49" s="27">
        <f t="shared" si="1"/>
        <v>31.6</v>
      </c>
      <c r="I49" s="24" t="s">
        <v>79</v>
      </c>
      <c r="J49" s="24" t="s">
        <v>80</v>
      </c>
      <c r="K49" s="24" t="s">
        <v>89</v>
      </c>
    </row>
    <row r="50" spans="1:11" ht="15.5">
      <c r="A50" s="24" t="s">
        <v>104</v>
      </c>
      <c r="B50" s="25">
        <v>1049</v>
      </c>
      <c r="C50" s="24">
        <v>2499</v>
      </c>
      <c r="D50" s="24" t="s">
        <v>86</v>
      </c>
      <c r="E50" s="27">
        <v>6.2</v>
      </c>
      <c r="F50" s="27">
        <v>9.1999999999999993</v>
      </c>
      <c r="G50" s="27">
        <f t="shared" si="0"/>
        <v>2.9999999999999991</v>
      </c>
      <c r="H50" s="27">
        <f t="shared" si="1"/>
        <v>0.29999999999999993</v>
      </c>
      <c r="I50" s="24" t="s">
        <v>79</v>
      </c>
      <c r="J50" s="24" t="s">
        <v>80</v>
      </c>
      <c r="K50" s="24" t="s">
        <v>94</v>
      </c>
    </row>
    <row r="51" spans="1:11" ht="15.5">
      <c r="A51" s="24" t="s">
        <v>104</v>
      </c>
      <c r="B51" s="25">
        <v>1050</v>
      </c>
      <c r="C51" s="24">
        <v>2877</v>
      </c>
      <c r="D51" s="24" t="s">
        <v>82</v>
      </c>
      <c r="E51" s="27">
        <v>11.4</v>
      </c>
      <c r="F51" s="27">
        <v>16.3</v>
      </c>
      <c r="G51" s="27">
        <f t="shared" si="0"/>
        <v>4.9000000000000004</v>
      </c>
      <c r="H51" s="27">
        <f t="shared" si="1"/>
        <v>0.49000000000000005</v>
      </c>
      <c r="I51" s="24" t="s">
        <v>79</v>
      </c>
      <c r="J51" s="24" t="s">
        <v>80</v>
      </c>
      <c r="K51" s="24" t="s">
        <v>89</v>
      </c>
    </row>
    <row r="52" spans="1:11" ht="15.5">
      <c r="A52" s="24" t="s">
        <v>104</v>
      </c>
      <c r="B52" s="25">
        <v>1051</v>
      </c>
      <c r="C52" s="24">
        <v>6119</v>
      </c>
      <c r="D52" s="24" t="s">
        <v>101</v>
      </c>
      <c r="E52" s="27">
        <v>9</v>
      </c>
      <c r="F52" s="27">
        <v>14</v>
      </c>
      <c r="G52" s="27">
        <f t="shared" si="0"/>
        <v>5</v>
      </c>
      <c r="H52" s="27">
        <f t="shared" si="1"/>
        <v>0.5</v>
      </c>
      <c r="I52" s="24" t="s">
        <v>87</v>
      </c>
      <c r="J52" s="24" t="s">
        <v>88</v>
      </c>
      <c r="K52" s="24" t="s">
        <v>100</v>
      </c>
    </row>
    <row r="53" spans="1:11" ht="15.5">
      <c r="A53" s="24" t="s">
        <v>104</v>
      </c>
      <c r="B53" s="25">
        <v>1052</v>
      </c>
      <c r="C53" s="24">
        <v>6622</v>
      </c>
      <c r="D53" s="24" t="s">
        <v>103</v>
      </c>
      <c r="E53" s="27">
        <v>42</v>
      </c>
      <c r="F53" s="27">
        <v>77</v>
      </c>
      <c r="G53" s="27">
        <f t="shared" si="0"/>
        <v>35</v>
      </c>
      <c r="H53" s="27">
        <f t="shared" si="1"/>
        <v>7</v>
      </c>
      <c r="I53" s="24" t="s">
        <v>87</v>
      </c>
      <c r="J53" s="24" t="s">
        <v>88</v>
      </c>
      <c r="K53" s="24" t="s">
        <v>89</v>
      </c>
    </row>
    <row r="54" spans="1:11" ht="15.5">
      <c r="A54" s="24" t="s">
        <v>104</v>
      </c>
      <c r="B54" s="25">
        <v>1053</v>
      </c>
      <c r="C54" s="24">
        <v>2242</v>
      </c>
      <c r="D54" s="24" t="s">
        <v>98</v>
      </c>
      <c r="E54" s="27">
        <v>60</v>
      </c>
      <c r="F54" s="27">
        <v>124</v>
      </c>
      <c r="G54" s="27">
        <f t="shared" si="0"/>
        <v>64</v>
      </c>
      <c r="H54" s="27">
        <f t="shared" si="1"/>
        <v>12.8</v>
      </c>
      <c r="I54" s="24" t="s">
        <v>79</v>
      </c>
      <c r="J54" s="24" t="s">
        <v>80</v>
      </c>
      <c r="K54" s="24" t="s">
        <v>85</v>
      </c>
    </row>
    <row r="55" spans="1:11" ht="15.5">
      <c r="A55" s="24" t="s">
        <v>104</v>
      </c>
      <c r="B55" s="25">
        <v>1054</v>
      </c>
      <c r="C55" s="24">
        <v>4421</v>
      </c>
      <c r="D55" s="24" t="s">
        <v>95</v>
      </c>
      <c r="E55" s="27">
        <v>45</v>
      </c>
      <c r="F55" s="27">
        <v>87</v>
      </c>
      <c r="G55" s="27">
        <f t="shared" si="0"/>
        <v>42</v>
      </c>
      <c r="H55" s="27">
        <f t="shared" si="1"/>
        <v>8.4</v>
      </c>
      <c r="I55" s="24" t="s">
        <v>87</v>
      </c>
      <c r="J55" s="24" t="s">
        <v>88</v>
      </c>
      <c r="K55" s="24" t="s">
        <v>99</v>
      </c>
    </row>
    <row r="56" spans="1:11" ht="15.5">
      <c r="A56" s="24" t="s">
        <v>104</v>
      </c>
      <c r="B56" s="25">
        <v>1055</v>
      </c>
      <c r="C56" s="24">
        <v>6119</v>
      </c>
      <c r="D56" s="24" t="s">
        <v>101</v>
      </c>
      <c r="E56" s="27">
        <v>9</v>
      </c>
      <c r="F56" s="27">
        <v>14</v>
      </c>
      <c r="G56" s="27">
        <f t="shared" si="0"/>
        <v>5</v>
      </c>
      <c r="H56" s="27">
        <f t="shared" si="1"/>
        <v>0.5</v>
      </c>
      <c r="I56" s="24" t="s">
        <v>83</v>
      </c>
      <c r="J56" s="24" t="s">
        <v>84</v>
      </c>
      <c r="K56" s="24" t="s">
        <v>99</v>
      </c>
    </row>
    <row r="57" spans="1:11" ht="15.5">
      <c r="A57" s="24" t="s">
        <v>104</v>
      </c>
      <c r="B57" s="25">
        <v>1056</v>
      </c>
      <c r="C57" s="24">
        <v>1109</v>
      </c>
      <c r="D57" s="24" t="s">
        <v>91</v>
      </c>
      <c r="E57" s="27">
        <v>3</v>
      </c>
      <c r="F57" s="27">
        <v>8</v>
      </c>
      <c r="G57" s="27">
        <f t="shared" si="0"/>
        <v>5</v>
      </c>
      <c r="H57" s="27">
        <f t="shared" si="1"/>
        <v>0.5</v>
      </c>
      <c r="I57" s="24" t="s">
        <v>87</v>
      </c>
      <c r="J57" s="24" t="s">
        <v>88</v>
      </c>
      <c r="K57" s="24" t="s">
        <v>85</v>
      </c>
    </row>
    <row r="58" spans="1:11" ht="15.5">
      <c r="A58" s="24" t="s">
        <v>104</v>
      </c>
      <c r="B58" s="25">
        <v>1057</v>
      </c>
      <c r="C58" s="24">
        <v>2499</v>
      </c>
      <c r="D58" s="24" t="s">
        <v>86</v>
      </c>
      <c r="E58" s="27">
        <v>6.2</v>
      </c>
      <c r="F58" s="27">
        <v>9.1999999999999993</v>
      </c>
      <c r="G58" s="27">
        <f t="shared" si="0"/>
        <v>2.9999999999999991</v>
      </c>
      <c r="H58" s="27">
        <f t="shared" si="1"/>
        <v>0.29999999999999993</v>
      </c>
      <c r="I58" s="24" t="s">
        <v>83</v>
      </c>
      <c r="J58" s="24" t="s">
        <v>84</v>
      </c>
      <c r="K58" s="24" t="s">
        <v>85</v>
      </c>
    </row>
    <row r="59" spans="1:11" ht="15.5">
      <c r="A59" s="24" t="s">
        <v>104</v>
      </c>
      <c r="B59" s="25">
        <v>1058</v>
      </c>
      <c r="C59" s="24">
        <v>6119</v>
      </c>
      <c r="D59" s="24" t="s">
        <v>101</v>
      </c>
      <c r="E59" s="27">
        <v>9</v>
      </c>
      <c r="F59" s="27">
        <v>14</v>
      </c>
      <c r="G59" s="27">
        <f t="shared" si="0"/>
        <v>5</v>
      </c>
      <c r="H59" s="27">
        <f t="shared" si="1"/>
        <v>0.5</v>
      </c>
      <c r="I59" s="24" t="s">
        <v>92</v>
      </c>
      <c r="J59" s="24" t="s">
        <v>93</v>
      </c>
      <c r="K59" s="24" t="s">
        <v>89</v>
      </c>
    </row>
    <row r="60" spans="1:11" ht="15.5">
      <c r="A60" s="24" t="s">
        <v>104</v>
      </c>
      <c r="B60" s="25">
        <v>1059</v>
      </c>
      <c r="C60" s="24">
        <v>2242</v>
      </c>
      <c r="D60" s="24" t="s">
        <v>98</v>
      </c>
      <c r="E60" s="27">
        <v>60</v>
      </c>
      <c r="F60" s="27">
        <v>124</v>
      </c>
      <c r="G60" s="27">
        <f t="shared" si="0"/>
        <v>64</v>
      </c>
      <c r="H60" s="27">
        <f t="shared" si="1"/>
        <v>12.8</v>
      </c>
      <c r="I60" s="24" t="s">
        <v>87</v>
      </c>
      <c r="J60" s="24" t="s">
        <v>88</v>
      </c>
      <c r="K60" s="24" t="s">
        <v>89</v>
      </c>
    </row>
    <row r="61" spans="1:11" ht="15.5">
      <c r="A61" s="24" t="s">
        <v>104</v>
      </c>
      <c r="B61" s="25">
        <v>1060</v>
      </c>
      <c r="C61" s="24">
        <v>6119</v>
      </c>
      <c r="D61" s="24" t="s">
        <v>101</v>
      </c>
      <c r="E61" s="27">
        <v>9</v>
      </c>
      <c r="F61" s="27">
        <v>14</v>
      </c>
      <c r="G61" s="27">
        <f t="shared" si="0"/>
        <v>5</v>
      </c>
      <c r="H61" s="27">
        <f t="shared" si="1"/>
        <v>0.5</v>
      </c>
      <c r="I61" s="24" t="s">
        <v>87</v>
      </c>
      <c r="J61" s="24" t="s">
        <v>88</v>
      </c>
      <c r="K61" s="24" t="s">
        <v>99</v>
      </c>
    </row>
    <row r="62" spans="1:11" ht="15.5">
      <c r="A62" s="24" t="s">
        <v>105</v>
      </c>
      <c r="B62" s="25">
        <v>1061</v>
      </c>
      <c r="C62" s="24">
        <v>1109</v>
      </c>
      <c r="D62" s="24" t="s">
        <v>91</v>
      </c>
      <c r="E62" s="27">
        <v>3</v>
      </c>
      <c r="F62" s="27">
        <v>8</v>
      </c>
      <c r="G62" s="27">
        <f t="shared" si="0"/>
        <v>5</v>
      </c>
      <c r="H62" s="27">
        <f t="shared" si="1"/>
        <v>0.5</v>
      </c>
      <c r="I62" s="24" t="s">
        <v>87</v>
      </c>
      <c r="J62" s="24" t="s">
        <v>88</v>
      </c>
      <c r="K62" s="24" t="s">
        <v>99</v>
      </c>
    </row>
    <row r="63" spans="1:11" ht="15.5">
      <c r="A63" s="24" t="s">
        <v>105</v>
      </c>
      <c r="B63" s="25">
        <v>1062</v>
      </c>
      <c r="C63" s="24">
        <v>2499</v>
      </c>
      <c r="D63" s="24" t="s">
        <v>86</v>
      </c>
      <c r="E63" s="27">
        <v>6.2</v>
      </c>
      <c r="F63" s="27">
        <v>9.1999999999999993</v>
      </c>
      <c r="G63" s="27">
        <f t="shared" si="0"/>
        <v>2.9999999999999991</v>
      </c>
      <c r="H63" s="27">
        <f t="shared" si="1"/>
        <v>0.29999999999999993</v>
      </c>
      <c r="I63" s="24" t="s">
        <v>79</v>
      </c>
      <c r="J63" s="24" t="s">
        <v>80</v>
      </c>
      <c r="K63" s="24" t="s">
        <v>89</v>
      </c>
    </row>
    <row r="64" spans="1:11" ht="15.5">
      <c r="A64" s="24" t="s">
        <v>105</v>
      </c>
      <c r="B64" s="25">
        <v>1063</v>
      </c>
      <c r="C64" s="24">
        <v>1109</v>
      </c>
      <c r="D64" s="24" t="s">
        <v>91</v>
      </c>
      <c r="E64" s="27">
        <v>3</v>
      </c>
      <c r="F64" s="27">
        <v>8</v>
      </c>
      <c r="G64" s="27">
        <f t="shared" si="0"/>
        <v>5</v>
      </c>
      <c r="H64" s="27">
        <f t="shared" si="1"/>
        <v>0.5</v>
      </c>
      <c r="I64" s="24" t="s">
        <v>87</v>
      </c>
      <c r="J64" s="24" t="s">
        <v>88</v>
      </c>
      <c r="K64" s="24" t="s">
        <v>85</v>
      </c>
    </row>
    <row r="65" spans="1:11" ht="15.5">
      <c r="A65" s="24" t="s">
        <v>105</v>
      </c>
      <c r="B65" s="25">
        <v>1064</v>
      </c>
      <c r="C65" s="24">
        <v>2499</v>
      </c>
      <c r="D65" s="24" t="s">
        <v>86</v>
      </c>
      <c r="E65" s="27">
        <v>6.2</v>
      </c>
      <c r="F65" s="27">
        <v>9.1999999999999993</v>
      </c>
      <c r="G65" s="27">
        <f t="shared" si="0"/>
        <v>2.9999999999999991</v>
      </c>
      <c r="H65" s="27">
        <f t="shared" si="1"/>
        <v>0.29999999999999993</v>
      </c>
      <c r="I65" s="24" t="s">
        <v>92</v>
      </c>
      <c r="J65" s="24" t="s">
        <v>93</v>
      </c>
      <c r="K65" s="24" t="s">
        <v>89</v>
      </c>
    </row>
    <row r="66" spans="1:11" ht="15.5">
      <c r="A66" s="24" t="s">
        <v>105</v>
      </c>
      <c r="B66" s="25">
        <v>1065</v>
      </c>
      <c r="C66" s="24">
        <v>2499</v>
      </c>
      <c r="D66" s="24" t="s">
        <v>86</v>
      </c>
      <c r="E66" s="27">
        <v>6.2</v>
      </c>
      <c r="F66" s="27">
        <v>9.1999999999999993</v>
      </c>
      <c r="G66" s="27">
        <f t="shared" si="0"/>
        <v>2.9999999999999991</v>
      </c>
      <c r="H66" s="27">
        <f t="shared" si="1"/>
        <v>0.29999999999999993</v>
      </c>
      <c r="I66" s="24" t="s">
        <v>87</v>
      </c>
      <c r="J66" s="24" t="s">
        <v>88</v>
      </c>
      <c r="K66" s="24" t="s">
        <v>81</v>
      </c>
    </row>
    <row r="67" spans="1:11" ht="15.5">
      <c r="A67" s="24" t="s">
        <v>105</v>
      </c>
      <c r="B67" s="25">
        <v>1066</v>
      </c>
      <c r="C67" s="24">
        <v>2877</v>
      </c>
      <c r="D67" s="24" t="s">
        <v>82</v>
      </c>
      <c r="E67" s="27">
        <v>11.4</v>
      </c>
      <c r="F67" s="27">
        <v>16.3</v>
      </c>
      <c r="G67" s="27">
        <f t="shared" ref="G67:G130" si="2">F67-E67</f>
        <v>4.9000000000000004</v>
      </c>
      <c r="H67" s="27">
        <f t="shared" ref="H67:H130" si="3">IF(F67&gt;50,G67*0.2,G67*0.1)</f>
        <v>0.49000000000000005</v>
      </c>
      <c r="I67" s="24" t="s">
        <v>87</v>
      </c>
      <c r="J67" s="24" t="s">
        <v>88</v>
      </c>
      <c r="K67" s="24" t="s">
        <v>99</v>
      </c>
    </row>
    <row r="68" spans="1:11" ht="15.5">
      <c r="A68" s="24" t="s">
        <v>105</v>
      </c>
      <c r="B68" s="25">
        <v>1067</v>
      </c>
      <c r="C68" s="24">
        <v>2877</v>
      </c>
      <c r="D68" s="24" t="s">
        <v>82</v>
      </c>
      <c r="E68" s="27">
        <v>11.4</v>
      </c>
      <c r="F68" s="27">
        <v>16.3</v>
      </c>
      <c r="G68" s="27">
        <f t="shared" si="2"/>
        <v>4.9000000000000004</v>
      </c>
      <c r="H68" s="27">
        <f t="shared" si="3"/>
        <v>0.49000000000000005</v>
      </c>
      <c r="I68" s="24" t="s">
        <v>87</v>
      </c>
      <c r="J68" s="24" t="s">
        <v>88</v>
      </c>
      <c r="K68" s="24" t="s">
        <v>100</v>
      </c>
    </row>
    <row r="69" spans="1:11" ht="15.5">
      <c r="A69" s="24" t="s">
        <v>105</v>
      </c>
      <c r="B69" s="25">
        <v>1068</v>
      </c>
      <c r="C69" s="24">
        <v>6119</v>
      </c>
      <c r="D69" s="24" t="s">
        <v>101</v>
      </c>
      <c r="E69" s="27">
        <v>9</v>
      </c>
      <c r="F69" s="27">
        <v>14</v>
      </c>
      <c r="G69" s="27">
        <f t="shared" si="2"/>
        <v>5</v>
      </c>
      <c r="H69" s="27">
        <f t="shared" si="3"/>
        <v>0.5</v>
      </c>
      <c r="I69" s="24" t="s">
        <v>83</v>
      </c>
      <c r="J69" s="24" t="s">
        <v>84</v>
      </c>
      <c r="K69" s="24" t="s">
        <v>85</v>
      </c>
    </row>
    <row r="70" spans="1:11" ht="15.5">
      <c r="A70" s="24" t="s">
        <v>105</v>
      </c>
      <c r="B70" s="25">
        <v>1069</v>
      </c>
      <c r="C70" s="24">
        <v>1109</v>
      </c>
      <c r="D70" s="24" t="s">
        <v>91</v>
      </c>
      <c r="E70" s="27">
        <v>3</v>
      </c>
      <c r="F70" s="27">
        <v>8</v>
      </c>
      <c r="G70" s="27">
        <f t="shared" si="2"/>
        <v>5</v>
      </c>
      <c r="H70" s="27">
        <f t="shared" si="3"/>
        <v>0.5</v>
      </c>
      <c r="I70" s="24" t="s">
        <v>87</v>
      </c>
      <c r="J70" s="24" t="s">
        <v>88</v>
      </c>
      <c r="K70" s="24" t="s">
        <v>89</v>
      </c>
    </row>
    <row r="71" spans="1:11" ht="15.5">
      <c r="A71" s="24" t="s">
        <v>105</v>
      </c>
      <c r="B71" s="25">
        <v>1070</v>
      </c>
      <c r="C71" s="24">
        <v>2499</v>
      </c>
      <c r="D71" s="24" t="s">
        <v>86</v>
      </c>
      <c r="E71" s="27">
        <v>6.2</v>
      </c>
      <c r="F71" s="27">
        <v>9.1999999999999993</v>
      </c>
      <c r="G71" s="27">
        <f t="shared" si="2"/>
        <v>2.9999999999999991</v>
      </c>
      <c r="H71" s="27">
        <f t="shared" si="3"/>
        <v>0.29999999999999993</v>
      </c>
      <c r="I71" s="24" t="s">
        <v>92</v>
      </c>
      <c r="J71" s="24" t="s">
        <v>93</v>
      </c>
      <c r="K71" s="24" t="s">
        <v>89</v>
      </c>
    </row>
    <row r="72" spans="1:11" ht="15.5">
      <c r="A72" s="24" t="s">
        <v>105</v>
      </c>
      <c r="B72" s="25">
        <v>1071</v>
      </c>
      <c r="C72" s="24">
        <v>1109</v>
      </c>
      <c r="D72" s="24" t="s">
        <v>91</v>
      </c>
      <c r="E72" s="27">
        <v>3</v>
      </c>
      <c r="F72" s="27">
        <v>8</v>
      </c>
      <c r="G72" s="27">
        <f t="shared" si="2"/>
        <v>5</v>
      </c>
      <c r="H72" s="27">
        <f t="shared" si="3"/>
        <v>0.5</v>
      </c>
      <c r="I72" s="24" t="s">
        <v>79</v>
      </c>
      <c r="J72" s="24" t="s">
        <v>80</v>
      </c>
      <c r="K72" s="24" t="s">
        <v>89</v>
      </c>
    </row>
    <row r="73" spans="1:11" ht="15.5">
      <c r="A73" s="24" t="s">
        <v>105</v>
      </c>
      <c r="B73" s="25">
        <v>1072</v>
      </c>
      <c r="C73" s="24">
        <v>1109</v>
      </c>
      <c r="D73" s="24" t="s">
        <v>91</v>
      </c>
      <c r="E73" s="27">
        <v>3</v>
      </c>
      <c r="F73" s="27">
        <v>8</v>
      </c>
      <c r="G73" s="27">
        <f t="shared" si="2"/>
        <v>5</v>
      </c>
      <c r="H73" s="27">
        <f t="shared" si="3"/>
        <v>0.5</v>
      </c>
      <c r="I73" s="24" t="s">
        <v>87</v>
      </c>
      <c r="J73" s="24" t="s">
        <v>88</v>
      </c>
      <c r="K73" s="24" t="s">
        <v>99</v>
      </c>
    </row>
    <row r="74" spans="1:11" ht="15.5">
      <c r="A74" s="24" t="s">
        <v>105</v>
      </c>
      <c r="B74" s="25">
        <v>1073</v>
      </c>
      <c r="C74" s="24">
        <v>6622</v>
      </c>
      <c r="D74" s="24" t="s">
        <v>103</v>
      </c>
      <c r="E74" s="27">
        <v>42</v>
      </c>
      <c r="F74" s="27">
        <v>77</v>
      </c>
      <c r="G74" s="27">
        <f t="shared" si="2"/>
        <v>35</v>
      </c>
      <c r="H74" s="27">
        <f t="shared" si="3"/>
        <v>7</v>
      </c>
      <c r="I74" s="24" t="s">
        <v>87</v>
      </c>
      <c r="J74" s="24" t="s">
        <v>88</v>
      </c>
      <c r="K74" s="24" t="s">
        <v>85</v>
      </c>
    </row>
    <row r="75" spans="1:11" ht="15.5">
      <c r="A75" s="24" t="s">
        <v>105</v>
      </c>
      <c r="B75" s="25">
        <v>1074</v>
      </c>
      <c r="C75" s="24">
        <v>2877</v>
      </c>
      <c r="D75" s="24" t="s">
        <v>82</v>
      </c>
      <c r="E75" s="27">
        <v>11.4</v>
      </c>
      <c r="F75" s="27">
        <v>16.3</v>
      </c>
      <c r="G75" s="27">
        <f t="shared" si="2"/>
        <v>4.9000000000000004</v>
      </c>
      <c r="H75" s="27">
        <f t="shared" si="3"/>
        <v>0.49000000000000005</v>
      </c>
      <c r="I75" s="24" t="s">
        <v>87</v>
      </c>
      <c r="J75" s="24" t="s">
        <v>88</v>
      </c>
      <c r="K75" s="24" t="s">
        <v>89</v>
      </c>
    </row>
    <row r="76" spans="1:11" ht="15.5">
      <c r="A76" s="24" t="s">
        <v>105</v>
      </c>
      <c r="B76" s="25">
        <v>1075</v>
      </c>
      <c r="C76" s="24">
        <v>1109</v>
      </c>
      <c r="D76" s="24" t="s">
        <v>91</v>
      </c>
      <c r="E76" s="27">
        <v>3</v>
      </c>
      <c r="F76" s="27">
        <v>8</v>
      </c>
      <c r="G76" s="27">
        <f t="shared" si="2"/>
        <v>5</v>
      </c>
      <c r="H76" s="27">
        <f t="shared" si="3"/>
        <v>0.5</v>
      </c>
      <c r="I76" s="24" t="s">
        <v>92</v>
      </c>
      <c r="J76" s="24" t="s">
        <v>93</v>
      </c>
      <c r="K76" s="24" t="s">
        <v>85</v>
      </c>
    </row>
    <row r="77" spans="1:11" ht="15.5">
      <c r="A77" s="24" t="s">
        <v>105</v>
      </c>
      <c r="B77" s="25">
        <v>1076</v>
      </c>
      <c r="C77" s="24">
        <v>1109</v>
      </c>
      <c r="D77" s="24" t="s">
        <v>91</v>
      </c>
      <c r="E77" s="27">
        <v>3</v>
      </c>
      <c r="F77" s="27">
        <v>8</v>
      </c>
      <c r="G77" s="27">
        <f t="shared" si="2"/>
        <v>5</v>
      </c>
      <c r="H77" s="27">
        <f t="shared" si="3"/>
        <v>0.5</v>
      </c>
      <c r="I77" s="24" t="s">
        <v>83</v>
      </c>
      <c r="J77" s="24" t="s">
        <v>84</v>
      </c>
      <c r="K77" s="24" t="s">
        <v>89</v>
      </c>
    </row>
    <row r="78" spans="1:11" ht="15.5">
      <c r="A78" s="24" t="s">
        <v>105</v>
      </c>
      <c r="B78" s="25">
        <v>1077</v>
      </c>
      <c r="C78" s="24">
        <v>9822</v>
      </c>
      <c r="D78" s="24" t="s">
        <v>78</v>
      </c>
      <c r="E78" s="27">
        <v>58.3</v>
      </c>
      <c r="F78" s="27">
        <v>98.4</v>
      </c>
      <c r="G78" s="27">
        <f t="shared" si="2"/>
        <v>40.100000000000009</v>
      </c>
      <c r="H78" s="27">
        <f t="shared" si="3"/>
        <v>8.0200000000000014</v>
      </c>
      <c r="I78" s="24" t="s">
        <v>92</v>
      </c>
      <c r="J78" s="24" t="s">
        <v>93</v>
      </c>
      <c r="K78" s="24" t="s">
        <v>89</v>
      </c>
    </row>
    <row r="79" spans="1:11" ht="15.5">
      <c r="A79" s="24" t="s">
        <v>105</v>
      </c>
      <c r="B79" s="25">
        <v>1078</v>
      </c>
      <c r="C79" s="24">
        <v>2877</v>
      </c>
      <c r="D79" s="24" t="s">
        <v>82</v>
      </c>
      <c r="E79" s="27">
        <v>11.4</v>
      </c>
      <c r="F79" s="27">
        <v>16.3</v>
      </c>
      <c r="G79" s="27">
        <f t="shared" si="2"/>
        <v>4.9000000000000004</v>
      </c>
      <c r="H79" s="27">
        <f t="shared" si="3"/>
        <v>0.49000000000000005</v>
      </c>
      <c r="I79" s="24" t="s">
        <v>83</v>
      </c>
      <c r="J79" s="24" t="s">
        <v>84</v>
      </c>
      <c r="K79" s="24" t="s">
        <v>99</v>
      </c>
    </row>
    <row r="80" spans="1:11" ht="15.5">
      <c r="A80" s="24" t="s">
        <v>106</v>
      </c>
      <c r="B80" s="25">
        <v>1079</v>
      </c>
      <c r="C80" s="24">
        <v>2877</v>
      </c>
      <c r="D80" s="24" t="s">
        <v>82</v>
      </c>
      <c r="E80" s="27">
        <v>11.4</v>
      </c>
      <c r="F80" s="27">
        <v>16.3</v>
      </c>
      <c r="G80" s="27">
        <f t="shared" si="2"/>
        <v>4.9000000000000004</v>
      </c>
      <c r="H80" s="27">
        <f t="shared" si="3"/>
        <v>0.49000000000000005</v>
      </c>
      <c r="I80" s="24" t="s">
        <v>83</v>
      </c>
      <c r="J80" s="24" t="s">
        <v>84</v>
      </c>
      <c r="K80" s="24" t="s">
        <v>81</v>
      </c>
    </row>
    <row r="81" spans="1:11" ht="15.5">
      <c r="A81" s="24" t="s">
        <v>106</v>
      </c>
      <c r="B81" s="25">
        <v>1080</v>
      </c>
      <c r="C81" s="24">
        <v>4421</v>
      </c>
      <c r="D81" s="24" t="s">
        <v>95</v>
      </c>
      <c r="E81" s="27">
        <v>45</v>
      </c>
      <c r="F81" s="27">
        <v>87</v>
      </c>
      <c r="G81" s="27">
        <f t="shared" si="2"/>
        <v>42</v>
      </c>
      <c r="H81" s="27">
        <f t="shared" si="3"/>
        <v>8.4</v>
      </c>
      <c r="I81" s="24" t="s">
        <v>87</v>
      </c>
      <c r="J81" s="24" t="s">
        <v>88</v>
      </c>
      <c r="K81" s="24" t="s">
        <v>85</v>
      </c>
    </row>
    <row r="82" spans="1:11" ht="15.5">
      <c r="A82" s="24" t="s">
        <v>106</v>
      </c>
      <c r="B82" s="25">
        <v>1081</v>
      </c>
      <c r="C82" s="24">
        <v>6119</v>
      </c>
      <c r="D82" s="24" t="s">
        <v>101</v>
      </c>
      <c r="E82" s="27">
        <v>9</v>
      </c>
      <c r="F82" s="27">
        <v>14</v>
      </c>
      <c r="G82" s="27">
        <f t="shared" si="2"/>
        <v>5</v>
      </c>
      <c r="H82" s="27">
        <f t="shared" si="3"/>
        <v>0.5</v>
      </c>
      <c r="I82" s="24" t="s">
        <v>87</v>
      </c>
      <c r="J82" s="24" t="s">
        <v>88</v>
      </c>
      <c r="K82" s="24" t="s">
        <v>100</v>
      </c>
    </row>
    <row r="83" spans="1:11" ht="15.5">
      <c r="A83" s="24" t="s">
        <v>106</v>
      </c>
      <c r="B83" s="25">
        <v>1082</v>
      </c>
      <c r="C83" s="24">
        <v>1109</v>
      </c>
      <c r="D83" s="24" t="s">
        <v>91</v>
      </c>
      <c r="E83" s="27">
        <v>3</v>
      </c>
      <c r="F83" s="27">
        <v>8</v>
      </c>
      <c r="G83" s="27">
        <f t="shared" si="2"/>
        <v>5</v>
      </c>
      <c r="H83" s="27">
        <f t="shared" si="3"/>
        <v>0.5</v>
      </c>
      <c r="I83" s="24" t="s">
        <v>79</v>
      </c>
      <c r="J83" s="24" t="s">
        <v>80</v>
      </c>
      <c r="K83" s="24" t="s">
        <v>85</v>
      </c>
    </row>
    <row r="84" spans="1:11" ht="15.5">
      <c r="A84" s="24" t="s">
        <v>106</v>
      </c>
      <c r="B84" s="25">
        <v>1083</v>
      </c>
      <c r="C84" s="24">
        <v>1109</v>
      </c>
      <c r="D84" s="24" t="s">
        <v>91</v>
      </c>
      <c r="E84" s="27">
        <v>3</v>
      </c>
      <c r="F84" s="27">
        <v>8</v>
      </c>
      <c r="G84" s="27">
        <f t="shared" si="2"/>
        <v>5</v>
      </c>
      <c r="H84" s="27">
        <f t="shared" si="3"/>
        <v>0.5</v>
      </c>
      <c r="I84" s="24" t="s">
        <v>79</v>
      </c>
      <c r="J84" s="24" t="s">
        <v>80</v>
      </c>
      <c r="K84" s="24" t="s">
        <v>99</v>
      </c>
    </row>
    <row r="85" spans="1:11" ht="15.5">
      <c r="A85" s="24" t="s">
        <v>106</v>
      </c>
      <c r="B85" s="25">
        <v>1084</v>
      </c>
      <c r="C85" s="24">
        <v>6119</v>
      </c>
      <c r="D85" s="24" t="s">
        <v>101</v>
      </c>
      <c r="E85" s="27">
        <v>9</v>
      </c>
      <c r="F85" s="27">
        <v>14</v>
      </c>
      <c r="G85" s="27">
        <f t="shared" si="2"/>
        <v>5</v>
      </c>
      <c r="H85" s="27">
        <f t="shared" si="3"/>
        <v>0.5</v>
      </c>
      <c r="I85" s="24" t="s">
        <v>79</v>
      </c>
      <c r="J85" s="24" t="s">
        <v>80</v>
      </c>
      <c r="K85" s="24" t="s">
        <v>89</v>
      </c>
    </row>
    <row r="86" spans="1:11" ht="15.5">
      <c r="A86" s="24" t="s">
        <v>106</v>
      </c>
      <c r="B86" s="25">
        <v>1085</v>
      </c>
      <c r="C86" s="24">
        <v>9822</v>
      </c>
      <c r="D86" s="24" t="s">
        <v>78</v>
      </c>
      <c r="E86" s="27">
        <v>58.3</v>
      </c>
      <c r="F86" s="27">
        <v>98.4</v>
      </c>
      <c r="G86" s="27">
        <f t="shared" si="2"/>
        <v>40.100000000000009</v>
      </c>
      <c r="H86" s="27">
        <f t="shared" si="3"/>
        <v>8.0200000000000014</v>
      </c>
      <c r="I86" s="24" t="s">
        <v>87</v>
      </c>
      <c r="J86" s="24" t="s">
        <v>88</v>
      </c>
      <c r="K86" s="24" t="s">
        <v>99</v>
      </c>
    </row>
    <row r="87" spans="1:11" ht="15.5">
      <c r="A87" s="24" t="s">
        <v>106</v>
      </c>
      <c r="B87" s="25">
        <v>1086</v>
      </c>
      <c r="C87" s="24">
        <v>1109</v>
      </c>
      <c r="D87" s="24" t="s">
        <v>91</v>
      </c>
      <c r="E87" s="27">
        <v>3</v>
      </c>
      <c r="F87" s="27">
        <v>8</v>
      </c>
      <c r="G87" s="27">
        <f t="shared" si="2"/>
        <v>5</v>
      </c>
      <c r="H87" s="27">
        <f t="shared" si="3"/>
        <v>0.5</v>
      </c>
      <c r="I87" s="24" t="s">
        <v>92</v>
      </c>
      <c r="J87" s="24" t="s">
        <v>93</v>
      </c>
      <c r="K87" s="24" t="s">
        <v>89</v>
      </c>
    </row>
    <row r="88" spans="1:11" ht="15.5">
      <c r="A88" s="24" t="s">
        <v>106</v>
      </c>
      <c r="B88" s="25">
        <v>1087</v>
      </c>
      <c r="C88" s="24">
        <v>2499</v>
      </c>
      <c r="D88" s="24" t="s">
        <v>86</v>
      </c>
      <c r="E88" s="27">
        <v>6.2</v>
      </c>
      <c r="F88" s="27">
        <v>9.1999999999999993</v>
      </c>
      <c r="G88" s="27">
        <f t="shared" si="2"/>
        <v>2.9999999999999991</v>
      </c>
      <c r="H88" s="27">
        <f t="shared" si="3"/>
        <v>0.29999999999999993</v>
      </c>
      <c r="I88" s="24" t="s">
        <v>79</v>
      </c>
      <c r="J88" s="24" t="s">
        <v>80</v>
      </c>
      <c r="K88" s="24" t="s">
        <v>85</v>
      </c>
    </row>
    <row r="89" spans="1:11" ht="15.5">
      <c r="A89" s="24" t="s">
        <v>106</v>
      </c>
      <c r="B89" s="25">
        <v>1088</v>
      </c>
      <c r="C89" s="24">
        <v>2499</v>
      </c>
      <c r="D89" s="24" t="s">
        <v>86</v>
      </c>
      <c r="E89" s="27">
        <v>6.2</v>
      </c>
      <c r="F89" s="27">
        <v>9.1999999999999993</v>
      </c>
      <c r="G89" s="27">
        <f t="shared" si="2"/>
        <v>2.9999999999999991</v>
      </c>
      <c r="H89" s="27">
        <f t="shared" si="3"/>
        <v>0.29999999999999993</v>
      </c>
      <c r="I89" s="24" t="s">
        <v>79</v>
      </c>
      <c r="J89" s="24" t="s">
        <v>80</v>
      </c>
      <c r="K89" s="24" t="s">
        <v>81</v>
      </c>
    </row>
    <row r="90" spans="1:11" ht="15.5">
      <c r="A90" s="24" t="s">
        <v>106</v>
      </c>
      <c r="B90" s="25">
        <v>1089</v>
      </c>
      <c r="C90" s="24">
        <v>6119</v>
      </c>
      <c r="D90" s="24" t="s">
        <v>101</v>
      </c>
      <c r="E90" s="27">
        <v>9</v>
      </c>
      <c r="F90" s="27">
        <v>14</v>
      </c>
      <c r="G90" s="27">
        <f t="shared" si="2"/>
        <v>5</v>
      </c>
      <c r="H90" s="27">
        <f t="shared" si="3"/>
        <v>0.5</v>
      </c>
      <c r="I90" s="24" t="s">
        <v>87</v>
      </c>
      <c r="J90" s="24" t="s">
        <v>88</v>
      </c>
      <c r="K90" s="24" t="s">
        <v>99</v>
      </c>
    </row>
    <row r="91" spans="1:11" ht="15.5">
      <c r="A91" s="24" t="s">
        <v>106</v>
      </c>
      <c r="B91" s="25">
        <v>1090</v>
      </c>
      <c r="C91" s="24">
        <v>2877</v>
      </c>
      <c r="D91" s="24" t="s">
        <v>82</v>
      </c>
      <c r="E91" s="27">
        <v>11.4</v>
      </c>
      <c r="F91" s="27">
        <v>16.3</v>
      </c>
      <c r="G91" s="27">
        <f t="shared" si="2"/>
        <v>4.9000000000000004</v>
      </c>
      <c r="H91" s="27">
        <f t="shared" si="3"/>
        <v>0.49000000000000005</v>
      </c>
      <c r="I91" s="24" t="s">
        <v>79</v>
      </c>
      <c r="J91" s="24" t="s">
        <v>80</v>
      </c>
      <c r="K91" s="24" t="s">
        <v>85</v>
      </c>
    </row>
    <row r="92" spans="1:11" ht="15.5">
      <c r="A92" s="24" t="s">
        <v>106</v>
      </c>
      <c r="B92" s="25">
        <v>1091</v>
      </c>
      <c r="C92" s="24">
        <v>2877</v>
      </c>
      <c r="D92" s="24" t="s">
        <v>82</v>
      </c>
      <c r="E92" s="27">
        <v>11.4</v>
      </c>
      <c r="F92" s="27">
        <v>16.3</v>
      </c>
      <c r="G92" s="27">
        <f t="shared" si="2"/>
        <v>4.9000000000000004</v>
      </c>
      <c r="H92" s="27">
        <f t="shared" si="3"/>
        <v>0.49000000000000005</v>
      </c>
      <c r="I92" s="24" t="s">
        <v>92</v>
      </c>
      <c r="J92" s="24" t="s">
        <v>93</v>
      </c>
      <c r="K92" s="24" t="s">
        <v>99</v>
      </c>
    </row>
    <row r="93" spans="1:11" ht="15.5">
      <c r="A93" s="24" t="s">
        <v>106</v>
      </c>
      <c r="B93" s="25">
        <v>1092</v>
      </c>
      <c r="C93" s="24">
        <v>2877</v>
      </c>
      <c r="D93" s="24" t="s">
        <v>82</v>
      </c>
      <c r="E93" s="27">
        <v>11.4</v>
      </c>
      <c r="F93" s="27">
        <v>16.3</v>
      </c>
      <c r="G93" s="27">
        <f t="shared" si="2"/>
        <v>4.9000000000000004</v>
      </c>
      <c r="H93" s="27">
        <f t="shared" si="3"/>
        <v>0.49000000000000005</v>
      </c>
      <c r="I93" s="24" t="s">
        <v>87</v>
      </c>
      <c r="J93" s="24" t="s">
        <v>88</v>
      </c>
      <c r="K93" s="24" t="s">
        <v>85</v>
      </c>
    </row>
    <row r="94" spans="1:11" ht="15.5">
      <c r="A94" s="24" t="s">
        <v>106</v>
      </c>
      <c r="B94" s="25">
        <v>1093</v>
      </c>
      <c r="C94" s="24">
        <v>6119</v>
      </c>
      <c r="D94" s="24" t="s">
        <v>101</v>
      </c>
      <c r="E94" s="27">
        <v>9</v>
      </c>
      <c r="F94" s="27">
        <v>14</v>
      </c>
      <c r="G94" s="27">
        <f t="shared" si="2"/>
        <v>5</v>
      </c>
      <c r="H94" s="27">
        <f t="shared" si="3"/>
        <v>0.5</v>
      </c>
      <c r="I94" s="24" t="s">
        <v>83</v>
      </c>
      <c r="J94" s="24" t="s">
        <v>84</v>
      </c>
      <c r="K94" s="24" t="s">
        <v>89</v>
      </c>
    </row>
    <row r="95" spans="1:11" ht="15.5">
      <c r="A95" s="24" t="s">
        <v>106</v>
      </c>
      <c r="B95" s="25">
        <v>1094</v>
      </c>
      <c r="C95" s="24">
        <v>6119</v>
      </c>
      <c r="D95" s="24" t="s">
        <v>101</v>
      </c>
      <c r="E95" s="27">
        <v>9</v>
      </c>
      <c r="F95" s="27">
        <v>14</v>
      </c>
      <c r="G95" s="27">
        <f t="shared" si="2"/>
        <v>5</v>
      </c>
      <c r="H95" s="27">
        <f t="shared" si="3"/>
        <v>0.5</v>
      </c>
      <c r="I95" s="24" t="s">
        <v>87</v>
      </c>
      <c r="J95" s="24" t="s">
        <v>88</v>
      </c>
      <c r="K95" s="24" t="s">
        <v>85</v>
      </c>
    </row>
    <row r="96" spans="1:11" ht="15.5">
      <c r="A96" s="24" t="s">
        <v>106</v>
      </c>
      <c r="B96" s="25">
        <v>1095</v>
      </c>
      <c r="C96" s="24">
        <v>2499</v>
      </c>
      <c r="D96" s="24" t="s">
        <v>86</v>
      </c>
      <c r="E96" s="27">
        <v>6.2</v>
      </c>
      <c r="F96" s="27">
        <v>9.1999999999999993</v>
      </c>
      <c r="G96" s="27">
        <f t="shared" si="2"/>
        <v>2.9999999999999991</v>
      </c>
      <c r="H96" s="27">
        <f t="shared" si="3"/>
        <v>0.29999999999999993</v>
      </c>
      <c r="I96" s="24" t="s">
        <v>92</v>
      </c>
      <c r="J96" s="24" t="s">
        <v>93</v>
      </c>
      <c r="K96" s="24" t="s">
        <v>89</v>
      </c>
    </row>
    <row r="97" spans="1:11" ht="15.5">
      <c r="A97" s="24" t="s">
        <v>106</v>
      </c>
      <c r="B97" s="25">
        <v>1096</v>
      </c>
      <c r="C97" s="24">
        <v>6119</v>
      </c>
      <c r="D97" s="24" t="s">
        <v>101</v>
      </c>
      <c r="E97" s="27">
        <v>9</v>
      </c>
      <c r="F97" s="27">
        <v>14</v>
      </c>
      <c r="G97" s="27">
        <f t="shared" si="2"/>
        <v>5</v>
      </c>
      <c r="H97" s="27">
        <f t="shared" si="3"/>
        <v>0.5</v>
      </c>
      <c r="I97" s="24" t="s">
        <v>87</v>
      </c>
      <c r="J97" s="24" t="s">
        <v>88</v>
      </c>
      <c r="K97" s="24" t="s">
        <v>89</v>
      </c>
    </row>
    <row r="98" spans="1:11" ht="15.5">
      <c r="A98" s="24" t="s">
        <v>106</v>
      </c>
      <c r="B98" s="25">
        <v>1097</v>
      </c>
      <c r="C98" s="24">
        <v>9212</v>
      </c>
      <c r="D98" s="24" t="s">
        <v>96</v>
      </c>
      <c r="E98" s="27">
        <v>4</v>
      </c>
      <c r="F98" s="27">
        <v>7</v>
      </c>
      <c r="G98" s="27">
        <f t="shared" si="2"/>
        <v>3</v>
      </c>
      <c r="H98" s="27">
        <f t="shared" si="3"/>
        <v>0.30000000000000004</v>
      </c>
      <c r="I98" s="24" t="s">
        <v>92</v>
      </c>
      <c r="J98" s="24" t="s">
        <v>93</v>
      </c>
      <c r="K98" s="24" t="s">
        <v>99</v>
      </c>
    </row>
    <row r="99" spans="1:11" ht="15.5">
      <c r="A99" s="24" t="s">
        <v>106</v>
      </c>
      <c r="B99" s="25">
        <v>1098</v>
      </c>
      <c r="C99" s="24">
        <v>2877</v>
      </c>
      <c r="D99" s="24" t="s">
        <v>82</v>
      </c>
      <c r="E99" s="27">
        <v>11.4</v>
      </c>
      <c r="F99" s="27">
        <v>16.3</v>
      </c>
      <c r="G99" s="27">
        <f t="shared" si="2"/>
        <v>4.9000000000000004</v>
      </c>
      <c r="H99" s="27">
        <f t="shared" si="3"/>
        <v>0.49000000000000005</v>
      </c>
      <c r="I99" s="24" t="s">
        <v>83</v>
      </c>
      <c r="J99" s="24" t="s">
        <v>84</v>
      </c>
      <c r="K99" s="24" t="s">
        <v>81</v>
      </c>
    </row>
    <row r="100" spans="1:11" ht="15.5">
      <c r="A100" s="24" t="s">
        <v>107</v>
      </c>
      <c r="B100" s="25">
        <v>1099</v>
      </c>
      <c r="C100" s="24">
        <v>2877</v>
      </c>
      <c r="D100" s="24" t="s">
        <v>82</v>
      </c>
      <c r="E100" s="27">
        <v>11.4</v>
      </c>
      <c r="F100" s="27">
        <v>16.3</v>
      </c>
      <c r="G100" s="27">
        <f t="shared" si="2"/>
        <v>4.9000000000000004</v>
      </c>
      <c r="H100" s="27">
        <f t="shared" si="3"/>
        <v>0.49000000000000005</v>
      </c>
      <c r="I100" s="24" t="s">
        <v>87</v>
      </c>
      <c r="J100" s="24" t="s">
        <v>88</v>
      </c>
      <c r="K100" s="24" t="s">
        <v>85</v>
      </c>
    </row>
    <row r="101" spans="1:11" ht="15.5">
      <c r="A101" s="24" t="s">
        <v>107</v>
      </c>
      <c r="B101" s="25">
        <v>1100</v>
      </c>
      <c r="C101" s="24">
        <v>6119</v>
      </c>
      <c r="D101" s="24" t="s">
        <v>101</v>
      </c>
      <c r="E101" s="27">
        <v>9</v>
      </c>
      <c r="F101" s="27">
        <v>14</v>
      </c>
      <c r="G101" s="27">
        <f t="shared" si="2"/>
        <v>5</v>
      </c>
      <c r="H101" s="27">
        <f t="shared" si="3"/>
        <v>0.5</v>
      </c>
      <c r="I101" s="24" t="s">
        <v>79</v>
      </c>
      <c r="J101" s="24" t="s">
        <v>80</v>
      </c>
      <c r="K101" s="24" t="s">
        <v>100</v>
      </c>
    </row>
    <row r="102" spans="1:11" ht="15.5">
      <c r="A102" s="24" t="s">
        <v>107</v>
      </c>
      <c r="B102" s="25">
        <v>1101</v>
      </c>
      <c r="C102" s="24">
        <v>2499</v>
      </c>
      <c r="D102" s="24" t="s">
        <v>86</v>
      </c>
      <c r="E102" s="27">
        <v>6.2</v>
      </c>
      <c r="F102" s="27">
        <v>9.1999999999999993</v>
      </c>
      <c r="G102" s="27">
        <f t="shared" si="2"/>
        <v>2.9999999999999991</v>
      </c>
      <c r="H102" s="27">
        <f t="shared" si="3"/>
        <v>0.29999999999999993</v>
      </c>
      <c r="I102" s="24" t="s">
        <v>87</v>
      </c>
      <c r="J102" s="24" t="s">
        <v>88</v>
      </c>
      <c r="K102" s="24" t="s">
        <v>85</v>
      </c>
    </row>
    <row r="103" spans="1:11" ht="15.5">
      <c r="A103" s="24" t="s">
        <v>107</v>
      </c>
      <c r="B103" s="25">
        <v>1102</v>
      </c>
      <c r="C103" s="24">
        <v>2242</v>
      </c>
      <c r="D103" s="24" t="s">
        <v>98</v>
      </c>
      <c r="E103" s="27">
        <v>60</v>
      </c>
      <c r="F103" s="27">
        <v>124</v>
      </c>
      <c r="G103" s="27">
        <f t="shared" si="2"/>
        <v>64</v>
      </c>
      <c r="H103" s="27">
        <f t="shared" si="3"/>
        <v>12.8</v>
      </c>
      <c r="I103" s="24" t="s">
        <v>83</v>
      </c>
      <c r="J103" s="24" t="s">
        <v>84</v>
      </c>
      <c r="K103" s="24" t="s">
        <v>99</v>
      </c>
    </row>
    <row r="104" spans="1:11" ht="15.5">
      <c r="A104" s="24" t="s">
        <v>107</v>
      </c>
      <c r="B104" s="25">
        <v>1103</v>
      </c>
      <c r="C104" s="24">
        <v>2877</v>
      </c>
      <c r="D104" s="24" t="s">
        <v>82</v>
      </c>
      <c r="E104" s="27">
        <v>11.4</v>
      </c>
      <c r="F104" s="27">
        <v>16.3</v>
      </c>
      <c r="G104" s="27">
        <f t="shared" si="2"/>
        <v>4.9000000000000004</v>
      </c>
      <c r="H104" s="27">
        <f t="shared" si="3"/>
        <v>0.49000000000000005</v>
      </c>
      <c r="I104" s="24" t="s">
        <v>83</v>
      </c>
      <c r="J104" s="24" t="s">
        <v>84</v>
      </c>
      <c r="K104" s="24" t="s">
        <v>89</v>
      </c>
    </row>
    <row r="105" spans="1:11" ht="15.5">
      <c r="A105" s="24" t="s">
        <v>107</v>
      </c>
      <c r="B105" s="25">
        <v>1104</v>
      </c>
      <c r="C105" s="24">
        <v>2877</v>
      </c>
      <c r="D105" s="24" t="s">
        <v>82</v>
      </c>
      <c r="E105" s="27">
        <v>11.4</v>
      </c>
      <c r="F105" s="27">
        <v>16.3</v>
      </c>
      <c r="G105" s="27">
        <f t="shared" si="2"/>
        <v>4.9000000000000004</v>
      </c>
      <c r="H105" s="27">
        <f t="shared" si="3"/>
        <v>0.49000000000000005</v>
      </c>
      <c r="I105" s="24" t="s">
        <v>87</v>
      </c>
      <c r="J105" s="24" t="s">
        <v>88</v>
      </c>
      <c r="K105" s="24" t="s">
        <v>99</v>
      </c>
    </row>
    <row r="106" spans="1:11" ht="15.5">
      <c r="A106" s="24" t="s">
        <v>107</v>
      </c>
      <c r="B106" s="25">
        <v>1105</v>
      </c>
      <c r="C106" s="24">
        <v>2499</v>
      </c>
      <c r="D106" s="24" t="s">
        <v>86</v>
      </c>
      <c r="E106" s="27">
        <v>6.2</v>
      </c>
      <c r="F106" s="27">
        <v>9.1999999999999993</v>
      </c>
      <c r="G106" s="27">
        <f t="shared" si="2"/>
        <v>2.9999999999999991</v>
      </c>
      <c r="H106" s="27">
        <f t="shared" si="3"/>
        <v>0.29999999999999993</v>
      </c>
      <c r="I106" s="24" t="s">
        <v>83</v>
      </c>
      <c r="J106" s="24" t="s">
        <v>84</v>
      </c>
      <c r="K106" s="24" t="s">
        <v>89</v>
      </c>
    </row>
    <row r="107" spans="1:11" ht="15.5">
      <c r="A107" s="24" t="s">
        <v>107</v>
      </c>
      <c r="B107" s="25">
        <v>1106</v>
      </c>
      <c r="C107" s="24">
        <v>9822</v>
      </c>
      <c r="D107" s="24" t="s">
        <v>78</v>
      </c>
      <c r="E107" s="27">
        <v>58.3</v>
      </c>
      <c r="F107" s="27">
        <v>98.4</v>
      </c>
      <c r="G107" s="27">
        <f t="shared" si="2"/>
        <v>40.100000000000009</v>
      </c>
      <c r="H107" s="27">
        <f t="shared" si="3"/>
        <v>8.0200000000000014</v>
      </c>
      <c r="I107" s="24" t="s">
        <v>83</v>
      </c>
      <c r="J107" s="24" t="s">
        <v>84</v>
      </c>
      <c r="K107" s="24" t="s">
        <v>85</v>
      </c>
    </row>
    <row r="108" spans="1:11" ht="15.5">
      <c r="A108" s="24" t="s">
        <v>107</v>
      </c>
      <c r="B108" s="25">
        <v>1107</v>
      </c>
      <c r="C108" s="24">
        <v>1109</v>
      </c>
      <c r="D108" s="24" t="s">
        <v>91</v>
      </c>
      <c r="E108" s="27">
        <v>3</v>
      </c>
      <c r="F108" s="27">
        <v>8</v>
      </c>
      <c r="G108" s="27">
        <f t="shared" si="2"/>
        <v>5</v>
      </c>
      <c r="H108" s="27">
        <f t="shared" si="3"/>
        <v>0.5</v>
      </c>
      <c r="I108" s="24" t="s">
        <v>92</v>
      </c>
      <c r="J108" s="24" t="s">
        <v>93</v>
      </c>
      <c r="K108" s="24" t="s">
        <v>81</v>
      </c>
    </row>
    <row r="109" spans="1:11" ht="15.5">
      <c r="A109" s="24" t="s">
        <v>107</v>
      </c>
      <c r="B109" s="25">
        <v>1108</v>
      </c>
      <c r="C109" s="24">
        <v>9822</v>
      </c>
      <c r="D109" s="24" t="s">
        <v>78</v>
      </c>
      <c r="E109" s="27">
        <v>58.3</v>
      </c>
      <c r="F109" s="27">
        <v>98.4</v>
      </c>
      <c r="G109" s="27">
        <f t="shared" si="2"/>
        <v>40.100000000000009</v>
      </c>
      <c r="H109" s="27">
        <f t="shared" si="3"/>
        <v>8.0200000000000014</v>
      </c>
      <c r="I109" s="24" t="s">
        <v>87</v>
      </c>
      <c r="J109" s="24" t="s">
        <v>88</v>
      </c>
      <c r="K109" s="24" t="s">
        <v>99</v>
      </c>
    </row>
    <row r="110" spans="1:11" ht="15.5">
      <c r="A110" s="24" t="s">
        <v>107</v>
      </c>
      <c r="B110" s="25">
        <v>1109</v>
      </c>
      <c r="C110" s="24">
        <v>8722</v>
      </c>
      <c r="D110" s="24" t="s">
        <v>90</v>
      </c>
      <c r="E110" s="27">
        <v>344</v>
      </c>
      <c r="F110" s="27">
        <v>502</v>
      </c>
      <c r="G110" s="27">
        <f t="shared" si="2"/>
        <v>158</v>
      </c>
      <c r="H110" s="27">
        <f t="shared" si="3"/>
        <v>31.6</v>
      </c>
      <c r="I110" s="24" t="s">
        <v>83</v>
      </c>
      <c r="J110" s="24" t="s">
        <v>84</v>
      </c>
      <c r="K110" s="24" t="s">
        <v>85</v>
      </c>
    </row>
    <row r="111" spans="1:11" ht="15.5">
      <c r="A111" s="24" t="s">
        <v>107</v>
      </c>
      <c r="B111" s="25">
        <v>1110</v>
      </c>
      <c r="C111" s="24">
        <v>8722</v>
      </c>
      <c r="D111" s="24" t="s">
        <v>90</v>
      </c>
      <c r="E111" s="27">
        <v>344</v>
      </c>
      <c r="F111" s="27">
        <v>502</v>
      </c>
      <c r="G111" s="27">
        <f t="shared" si="2"/>
        <v>158</v>
      </c>
      <c r="H111" s="27">
        <f t="shared" si="3"/>
        <v>31.6</v>
      </c>
      <c r="I111" s="24" t="s">
        <v>92</v>
      </c>
      <c r="J111" s="24" t="s">
        <v>93</v>
      </c>
      <c r="K111" s="24" t="s">
        <v>99</v>
      </c>
    </row>
    <row r="112" spans="1:11" ht="15.5">
      <c r="A112" s="24" t="s">
        <v>107</v>
      </c>
      <c r="B112" s="25">
        <v>1111</v>
      </c>
      <c r="C112" s="24">
        <v>6622</v>
      </c>
      <c r="D112" s="24" t="s">
        <v>103</v>
      </c>
      <c r="E112" s="27">
        <v>42</v>
      </c>
      <c r="F112" s="27">
        <v>77</v>
      </c>
      <c r="G112" s="27">
        <f t="shared" si="2"/>
        <v>35</v>
      </c>
      <c r="H112" s="27">
        <f t="shared" si="3"/>
        <v>7</v>
      </c>
      <c r="I112" s="24" t="s">
        <v>92</v>
      </c>
      <c r="J112" s="24" t="s">
        <v>93</v>
      </c>
      <c r="K112" s="24" t="s">
        <v>85</v>
      </c>
    </row>
    <row r="113" spans="1:11" ht="15.5">
      <c r="A113" s="24" t="s">
        <v>107</v>
      </c>
      <c r="B113" s="25">
        <v>1112</v>
      </c>
      <c r="C113" s="24">
        <v>6622</v>
      </c>
      <c r="D113" s="24" t="s">
        <v>103</v>
      </c>
      <c r="E113" s="27">
        <v>42</v>
      </c>
      <c r="F113" s="27">
        <v>77</v>
      </c>
      <c r="G113" s="27">
        <f t="shared" si="2"/>
        <v>35</v>
      </c>
      <c r="H113" s="27">
        <f t="shared" si="3"/>
        <v>7</v>
      </c>
      <c r="I113" s="24" t="s">
        <v>87</v>
      </c>
      <c r="J113" s="24" t="s">
        <v>88</v>
      </c>
      <c r="K113" s="24" t="s">
        <v>89</v>
      </c>
    </row>
    <row r="114" spans="1:11" ht="15.5">
      <c r="A114" s="24" t="s">
        <v>107</v>
      </c>
      <c r="B114" s="25">
        <v>1113</v>
      </c>
      <c r="C114" s="24">
        <v>9822</v>
      </c>
      <c r="D114" s="24" t="s">
        <v>78</v>
      </c>
      <c r="E114" s="27">
        <v>58.3</v>
      </c>
      <c r="F114" s="27">
        <v>98.4</v>
      </c>
      <c r="G114" s="27">
        <f t="shared" si="2"/>
        <v>40.100000000000009</v>
      </c>
      <c r="H114" s="27">
        <f t="shared" si="3"/>
        <v>8.0200000000000014</v>
      </c>
      <c r="I114" s="24" t="s">
        <v>79</v>
      </c>
      <c r="J114" s="24" t="s">
        <v>80</v>
      </c>
      <c r="K114" s="24" t="s">
        <v>85</v>
      </c>
    </row>
    <row r="115" spans="1:11" ht="15.5">
      <c r="A115" s="24" t="s">
        <v>107</v>
      </c>
      <c r="B115" s="25">
        <v>1114</v>
      </c>
      <c r="C115" s="24">
        <v>2242</v>
      </c>
      <c r="D115" s="24" t="s">
        <v>98</v>
      </c>
      <c r="E115" s="27">
        <v>60</v>
      </c>
      <c r="F115" s="27">
        <v>124</v>
      </c>
      <c r="G115" s="27">
        <f t="shared" si="2"/>
        <v>64</v>
      </c>
      <c r="H115" s="27">
        <f t="shared" si="3"/>
        <v>12.8</v>
      </c>
      <c r="I115" s="24" t="s">
        <v>83</v>
      </c>
      <c r="J115" s="24" t="s">
        <v>84</v>
      </c>
      <c r="K115" s="24" t="s">
        <v>89</v>
      </c>
    </row>
    <row r="116" spans="1:11" ht="15.5">
      <c r="A116" s="24" t="s">
        <v>107</v>
      </c>
      <c r="B116" s="25">
        <v>1115</v>
      </c>
      <c r="C116" s="24">
        <v>8722</v>
      </c>
      <c r="D116" s="24" t="s">
        <v>90</v>
      </c>
      <c r="E116" s="27">
        <v>344</v>
      </c>
      <c r="F116" s="27">
        <v>502</v>
      </c>
      <c r="G116" s="27">
        <f t="shared" si="2"/>
        <v>158</v>
      </c>
      <c r="H116" s="27">
        <f t="shared" si="3"/>
        <v>31.6</v>
      </c>
      <c r="I116" s="24" t="s">
        <v>79</v>
      </c>
      <c r="J116" s="24" t="s">
        <v>80</v>
      </c>
      <c r="K116" s="24" t="s">
        <v>89</v>
      </c>
    </row>
    <row r="117" spans="1:11" ht="15.5">
      <c r="A117" s="24" t="s">
        <v>107</v>
      </c>
      <c r="B117" s="25">
        <v>1116</v>
      </c>
      <c r="C117" s="24">
        <v>6622</v>
      </c>
      <c r="D117" s="24" t="s">
        <v>103</v>
      </c>
      <c r="E117" s="27">
        <v>42</v>
      </c>
      <c r="F117" s="27">
        <v>77</v>
      </c>
      <c r="G117" s="27">
        <f t="shared" si="2"/>
        <v>35</v>
      </c>
      <c r="H117" s="27">
        <f t="shared" si="3"/>
        <v>7</v>
      </c>
      <c r="I117" s="24" t="s">
        <v>87</v>
      </c>
      <c r="J117" s="24" t="s">
        <v>88</v>
      </c>
      <c r="K117" s="24" t="s">
        <v>99</v>
      </c>
    </row>
    <row r="118" spans="1:11" ht="15.5">
      <c r="A118" s="24" t="s">
        <v>107</v>
      </c>
      <c r="B118" s="25">
        <v>1117</v>
      </c>
      <c r="C118" s="24">
        <v>8722</v>
      </c>
      <c r="D118" s="24" t="s">
        <v>90</v>
      </c>
      <c r="E118" s="27">
        <v>344</v>
      </c>
      <c r="F118" s="27">
        <v>502</v>
      </c>
      <c r="G118" s="27">
        <f t="shared" si="2"/>
        <v>158</v>
      </c>
      <c r="H118" s="27">
        <f t="shared" si="3"/>
        <v>31.6</v>
      </c>
      <c r="I118" s="24" t="s">
        <v>92</v>
      </c>
      <c r="J118" s="24" t="s">
        <v>93</v>
      </c>
      <c r="K118" s="24" t="s">
        <v>81</v>
      </c>
    </row>
    <row r="119" spans="1:11" ht="15.5">
      <c r="A119" s="24" t="s">
        <v>107</v>
      </c>
      <c r="B119" s="25">
        <v>1118</v>
      </c>
      <c r="C119" s="24">
        <v>9822</v>
      </c>
      <c r="D119" s="24" t="s">
        <v>78</v>
      </c>
      <c r="E119" s="27">
        <v>58.3</v>
      </c>
      <c r="F119" s="27">
        <v>98.4</v>
      </c>
      <c r="G119" s="27">
        <f t="shared" si="2"/>
        <v>40.100000000000009</v>
      </c>
      <c r="H119" s="27">
        <f t="shared" si="3"/>
        <v>8.0200000000000014</v>
      </c>
      <c r="I119" s="24" t="s">
        <v>83</v>
      </c>
      <c r="J119" s="24" t="s">
        <v>84</v>
      </c>
      <c r="K119" s="24" t="s">
        <v>85</v>
      </c>
    </row>
    <row r="120" spans="1:11" ht="15.5">
      <c r="A120" s="24" t="s">
        <v>107</v>
      </c>
      <c r="B120" s="25">
        <v>1119</v>
      </c>
      <c r="C120" s="24">
        <v>2242</v>
      </c>
      <c r="D120" s="24" t="s">
        <v>98</v>
      </c>
      <c r="E120" s="27">
        <v>60</v>
      </c>
      <c r="F120" s="27">
        <v>124</v>
      </c>
      <c r="G120" s="27">
        <f t="shared" si="2"/>
        <v>64</v>
      </c>
      <c r="H120" s="27">
        <f t="shared" si="3"/>
        <v>12.8</v>
      </c>
      <c r="I120" s="24" t="s">
        <v>79</v>
      </c>
      <c r="J120" s="24" t="s">
        <v>80</v>
      </c>
      <c r="K120" s="24" t="s">
        <v>100</v>
      </c>
    </row>
    <row r="121" spans="1:11" ht="15.5">
      <c r="A121" s="24" t="s">
        <v>107</v>
      </c>
      <c r="B121" s="25">
        <v>1120</v>
      </c>
      <c r="C121" s="24">
        <v>2242</v>
      </c>
      <c r="D121" s="24" t="s">
        <v>98</v>
      </c>
      <c r="E121" s="27">
        <v>60</v>
      </c>
      <c r="F121" s="27">
        <v>124</v>
      </c>
      <c r="G121" s="27">
        <f t="shared" si="2"/>
        <v>64</v>
      </c>
      <c r="H121" s="27">
        <f t="shared" si="3"/>
        <v>12.8</v>
      </c>
      <c r="I121" s="24" t="s">
        <v>87</v>
      </c>
      <c r="J121" s="24" t="s">
        <v>88</v>
      </c>
      <c r="K121" s="24" t="s">
        <v>85</v>
      </c>
    </row>
    <row r="122" spans="1:11" ht="15.5">
      <c r="A122" s="24" t="s">
        <v>107</v>
      </c>
      <c r="B122" s="25">
        <v>1121</v>
      </c>
      <c r="C122" s="24">
        <v>4421</v>
      </c>
      <c r="D122" s="24" t="s">
        <v>95</v>
      </c>
      <c r="E122" s="27">
        <v>45</v>
      </c>
      <c r="F122" s="27">
        <v>87</v>
      </c>
      <c r="G122" s="27">
        <f t="shared" si="2"/>
        <v>42</v>
      </c>
      <c r="H122" s="27">
        <f t="shared" si="3"/>
        <v>8.4</v>
      </c>
      <c r="I122" s="24" t="s">
        <v>87</v>
      </c>
      <c r="J122" s="24" t="s">
        <v>88</v>
      </c>
      <c r="K122" s="24" t="s">
        <v>99</v>
      </c>
    </row>
    <row r="123" spans="1:11" ht="15.5">
      <c r="A123" s="24" t="s">
        <v>107</v>
      </c>
      <c r="B123" s="25">
        <v>1122</v>
      </c>
      <c r="C123" s="24">
        <v>8722</v>
      </c>
      <c r="D123" s="24" t="s">
        <v>90</v>
      </c>
      <c r="E123" s="27">
        <v>344</v>
      </c>
      <c r="F123" s="27">
        <v>502</v>
      </c>
      <c r="G123" s="27">
        <f t="shared" si="2"/>
        <v>158</v>
      </c>
      <c r="H123" s="27">
        <f t="shared" si="3"/>
        <v>31.6</v>
      </c>
      <c r="I123" s="24" t="s">
        <v>87</v>
      </c>
      <c r="J123" s="24" t="s">
        <v>88</v>
      </c>
      <c r="K123" s="24" t="s">
        <v>89</v>
      </c>
    </row>
    <row r="124" spans="1:11" ht="15.5">
      <c r="A124" s="24" t="s">
        <v>107</v>
      </c>
      <c r="B124" s="25">
        <v>1123</v>
      </c>
      <c r="C124" s="24">
        <v>9822</v>
      </c>
      <c r="D124" s="24" t="s">
        <v>78</v>
      </c>
      <c r="E124" s="27">
        <v>58.3</v>
      </c>
      <c r="F124" s="27">
        <v>98.4</v>
      </c>
      <c r="G124" s="27">
        <f t="shared" si="2"/>
        <v>40.100000000000009</v>
      </c>
      <c r="H124" s="27">
        <f t="shared" si="3"/>
        <v>8.0200000000000014</v>
      </c>
      <c r="I124" s="24" t="s">
        <v>87</v>
      </c>
      <c r="J124" s="24" t="s">
        <v>88</v>
      </c>
      <c r="K124" s="24" t="s">
        <v>99</v>
      </c>
    </row>
    <row r="125" spans="1:11" ht="15.5">
      <c r="A125" s="24" t="s">
        <v>107</v>
      </c>
      <c r="B125" s="25">
        <v>1124</v>
      </c>
      <c r="C125" s="24">
        <v>4421</v>
      </c>
      <c r="D125" s="24" t="s">
        <v>95</v>
      </c>
      <c r="E125" s="27">
        <v>45</v>
      </c>
      <c r="F125" s="27">
        <v>87</v>
      </c>
      <c r="G125" s="27">
        <f t="shared" si="2"/>
        <v>42</v>
      </c>
      <c r="H125" s="27">
        <f t="shared" si="3"/>
        <v>8.4</v>
      </c>
      <c r="I125" s="24" t="s">
        <v>87</v>
      </c>
      <c r="J125" s="24" t="s">
        <v>88</v>
      </c>
      <c r="K125" s="24" t="s">
        <v>89</v>
      </c>
    </row>
    <row r="126" spans="1:11" ht="15.5">
      <c r="A126" s="24" t="s">
        <v>108</v>
      </c>
      <c r="B126" s="25">
        <v>1125</v>
      </c>
      <c r="C126" s="24">
        <v>2242</v>
      </c>
      <c r="D126" s="24" t="s">
        <v>98</v>
      </c>
      <c r="E126" s="27">
        <v>60</v>
      </c>
      <c r="F126" s="27">
        <v>124</v>
      </c>
      <c r="G126" s="27">
        <f t="shared" si="2"/>
        <v>64</v>
      </c>
      <c r="H126" s="27">
        <f t="shared" si="3"/>
        <v>12.8</v>
      </c>
      <c r="I126" s="24" t="s">
        <v>87</v>
      </c>
      <c r="J126" s="24" t="s">
        <v>88</v>
      </c>
      <c r="K126" s="24" t="s">
        <v>85</v>
      </c>
    </row>
    <row r="127" spans="1:11" ht="15.5">
      <c r="A127" s="24" t="s">
        <v>108</v>
      </c>
      <c r="B127" s="25">
        <v>1126</v>
      </c>
      <c r="C127" s="24">
        <v>9212</v>
      </c>
      <c r="D127" s="24" t="s">
        <v>96</v>
      </c>
      <c r="E127" s="27">
        <v>4</v>
      </c>
      <c r="F127" s="27">
        <v>7</v>
      </c>
      <c r="G127" s="27">
        <f t="shared" si="2"/>
        <v>3</v>
      </c>
      <c r="H127" s="27">
        <f t="shared" si="3"/>
        <v>0.30000000000000004</v>
      </c>
      <c r="I127" s="24" t="s">
        <v>87</v>
      </c>
      <c r="J127" s="24" t="s">
        <v>88</v>
      </c>
      <c r="K127" s="24" t="s">
        <v>81</v>
      </c>
    </row>
    <row r="128" spans="1:11" ht="15.5">
      <c r="A128" s="24" t="s">
        <v>108</v>
      </c>
      <c r="B128" s="25">
        <v>1127</v>
      </c>
      <c r="C128" s="24">
        <v>8722</v>
      </c>
      <c r="D128" s="24" t="s">
        <v>90</v>
      </c>
      <c r="E128" s="27">
        <v>344</v>
      </c>
      <c r="F128" s="27">
        <v>502</v>
      </c>
      <c r="G128" s="27">
        <f t="shared" si="2"/>
        <v>158</v>
      </c>
      <c r="H128" s="27">
        <f t="shared" si="3"/>
        <v>31.6</v>
      </c>
      <c r="I128" s="24" t="s">
        <v>79</v>
      </c>
      <c r="J128" s="24" t="s">
        <v>80</v>
      </c>
      <c r="K128" s="24" t="s">
        <v>99</v>
      </c>
    </row>
    <row r="129" spans="1:11" ht="15.5">
      <c r="A129" s="24" t="s">
        <v>108</v>
      </c>
      <c r="B129" s="25">
        <v>1128</v>
      </c>
      <c r="C129" s="24">
        <v>6622</v>
      </c>
      <c r="D129" s="24" t="s">
        <v>103</v>
      </c>
      <c r="E129" s="27">
        <v>42</v>
      </c>
      <c r="F129" s="27">
        <v>77</v>
      </c>
      <c r="G129" s="27">
        <f t="shared" si="2"/>
        <v>35</v>
      </c>
      <c r="H129" s="27">
        <f t="shared" si="3"/>
        <v>7</v>
      </c>
      <c r="I129" s="24" t="s">
        <v>83</v>
      </c>
      <c r="J129" s="24" t="s">
        <v>84</v>
      </c>
      <c r="K129" s="24" t="s">
        <v>85</v>
      </c>
    </row>
    <row r="130" spans="1:11" ht="15.5">
      <c r="A130" s="24" t="s">
        <v>108</v>
      </c>
      <c r="B130" s="25">
        <v>1129</v>
      </c>
      <c r="C130" s="24">
        <v>9822</v>
      </c>
      <c r="D130" s="24" t="s">
        <v>78</v>
      </c>
      <c r="E130" s="27">
        <v>58.3</v>
      </c>
      <c r="F130" s="27">
        <v>98.4</v>
      </c>
      <c r="G130" s="27">
        <f t="shared" si="2"/>
        <v>40.100000000000009</v>
      </c>
      <c r="H130" s="27">
        <f t="shared" si="3"/>
        <v>8.0200000000000014</v>
      </c>
      <c r="I130" s="24" t="s">
        <v>92</v>
      </c>
      <c r="J130" s="24" t="s">
        <v>93</v>
      </c>
      <c r="K130" s="24" t="s">
        <v>99</v>
      </c>
    </row>
    <row r="131" spans="1:11" ht="15.5">
      <c r="A131" s="24" t="s">
        <v>108</v>
      </c>
      <c r="B131" s="25">
        <v>1130</v>
      </c>
      <c r="C131" s="24">
        <v>4421</v>
      </c>
      <c r="D131" s="24" t="s">
        <v>95</v>
      </c>
      <c r="E131" s="27">
        <v>45</v>
      </c>
      <c r="F131" s="27">
        <v>87</v>
      </c>
      <c r="G131" s="27">
        <f t="shared" ref="G131:G172" si="4">F131-E131</f>
        <v>42</v>
      </c>
      <c r="H131" s="27">
        <f t="shared" ref="H131:H172" si="5">IF(F131&gt;50,G131*0.2,G131*0.1)</f>
        <v>8.4</v>
      </c>
      <c r="I131" s="24" t="s">
        <v>92</v>
      </c>
      <c r="J131" s="24" t="s">
        <v>93</v>
      </c>
      <c r="K131" s="24" t="s">
        <v>85</v>
      </c>
    </row>
    <row r="132" spans="1:11" ht="15.5">
      <c r="A132" s="24" t="s">
        <v>108</v>
      </c>
      <c r="B132" s="25">
        <v>1131</v>
      </c>
      <c r="C132" s="24">
        <v>9212</v>
      </c>
      <c r="D132" s="24" t="s">
        <v>96</v>
      </c>
      <c r="E132" s="27">
        <v>4</v>
      </c>
      <c r="F132" s="27">
        <v>7</v>
      </c>
      <c r="G132" s="27">
        <f t="shared" si="4"/>
        <v>3</v>
      </c>
      <c r="H132" s="27">
        <f t="shared" si="5"/>
        <v>0.30000000000000004</v>
      </c>
      <c r="I132" s="24" t="s">
        <v>92</v>
      </c>
      <c r="J132" s="24" t="s">
        <v>93</v>
      </c>
      <c r="K132" s="24" t="s">
        <v>89</v>
      </c>
    </row>
    <row r="133" spans="1:11" ht="15.5">
      <c r="A133" s="24" t="s">
        <v>108</v>
      </c>
      <c r="B133" s="25">
        <v>1132</v>
      </c>
      <c r="C133" s="24">
        <v>9212</v>
      </c>
      <c r="D133" s="24" t="s">
        <v>96</v>
      </c>
      <c r="E133" s="27">
        <v>4</v>
      </c>
      <c r="F133" s="27">
        <v>7</v>
      </c>
      <c r="G133" s="27">
        <f t="shared" si="4"/>
        <v>3</v>
      </c>
      <c r="H133" s="27">
        <f t="shared" si="5"/>
        <v>0.30000000000000004</v>
      </c>
      <c r="I133" s="24" t="s">
        <v>92</v>
      </c>
      <c r="J133" s="24" t="s">
        <v>93</v>
      </c>
      <c r="K133" s="24" t="s">
        <v>85</v>
      </c>
    </row>
    <row r="134" spans="1:11" ht="15.5">
      <c r="A134" s="24" t="s">
        <v>108</v>
      </c>
      <c r="B134" s="25">
        <v>1133</v>
      </c>
      <c r="C134" s="24">
        <v>9822</v>
      </c>
      <c r="D134" s="24" t="s">
        <v>78</v>
      </c>
      <c r="E134" s="27">
        <v>58.3</v>
      </c>
      <c r="F134" s="27">
        <v>98.4</v>
      </c>
      <c r="G134" s="27">
        <f t="shared" si="4"/>
        <v>40.100000000000009</v>
      </c>
      <c r="H134" s="27">
        <f t="shared" si="5"/>
        <v>8.0200000000000014</v>
      </c>
      <c r="I134" s="24" t="s">
        <v>79</v>
      </c>
      <c r="J134" s="24" t="s">
        <v>80</v>
      </c>
      <c r="K134" s="24" t="s">
        <v>89</v>
      </c>
    </row>
    <row r="135" spans="1:11" ht="15.5">
      <c r="A135" s="24" t="s">
        <v>108</v>
      </c>
      <c r="B135" s="25">
        <v>1134</v>
      </c>
      <c r="C135" s="24">
        <v>9822</v>
      </c>
      <c r="D135" s="24" t="s">
        <v>78</v>
      </c>
      <c r="E135" s="27">
        <v>58.3</v>
      </c>
      <c r="F135" s="27">
        <v>98.4</v>
      </c>
      <c r="G135" s="27">
        <f t="shared" si="4"/>
        <v>40.100000000000009</v>
      </c>
      <c r="H135" s="27">
        <f t="shared" si="5"/>
        <v>8.0200000000000014</v>
      </c>
      <c r="I135" s="24" t="s">
        <v>87</v>
      </c>
      <c r="J135" s="24" t="s">
        <v>88</v>
      </c>
      <c r="K135" s="24" t="s">
        <v>89</v>
      </c>
    </row>
    <row r="136" spans="1:11" ht="15.5">
      <c r="A136" s="24" t="s">
        <v>108</v>
      </c>
      <c r="B136" s="25">
        <v>1135</v>
      </c>
      <c r="C136" s="24">
        <v>8722</v>
      </c>
      <c r="D136" s="24" t="s">
        <v>90</v>
      </c>
      <c r="E136" s="27">
        <v>344</v>
      </c>
      <c r="F136" s="27">
        <v>502</v>
      </c>
      <c r="G136" s="27">
        <f t="shared" si="4"/>
        <v>158</v>
      </c>
      <c r="H136" s="27">
        <f t="shared" si="5"/>
        <v>31.6</v>
      </c>
      <c r="I136" s="24" t="s">
        <v>79</v>
      </c>
      <c r="J136" s="24" t="s">
        <v>80</v>
      </c>
      <c r="K136" s="24" t="s">
        <v>99</v>
      </c>
    </row>
    <row r="137" spans="1:11" ht="15.5">
      <c r="A137" s="24" t="s">
        <v>108</v>
      </c>
      <c r="B137" s="25">
        <v>1136</v>
      </c>
      <c r="C137" s="24">
        <v>2242</v>
      </c>
      <c r="D137" s="24" t="s">
        <v>98</v>
      </c>
      <c r="E137" s="27">
        <v>60</v>
      </c>
      <c r="F137" s="27">
        <v>124</v>
      </c>
      <c r="G137" s="27">
        <f t="shared" si="4"/>
        <v>64</v>
      </c>
      <c r="H137" s="27">
        <f t="shared" si="5"/>
        <v>12.8</v>
      </c>
      <c r="I137" s="24" t="s">
        <v>87</v>
      </c>
      <c r="J137" s="24" t="s">
        <v>88</v>
      </c>
      <c r="K137" s="24" t="s">
        <v>81</v>
      </c>
    </row>
    <row r="138" spans="1:11" ht="15.5">
      <c r="A138" s="24" t="s">
        <v>108</v>
      </c>
      <c r="B138" s="25">
        <v>1137</v>
      </c>
      <c r="C138" s="24">
        <v>9822</v>
      </c>
      <c r="D138" s="24" t="s">
        <v>78</v>
      </c>
      <c r="E138" s="27">
        <v>58.3</v>
      </c>
      <c r="F138" s="27">
        <v>98.4</v>
      </c>
      <c r="G138" s="27">
        <f t="shared" si="4"/>
        <v>40.100000000000009</v>
      </c>
      <c r="H138" s="27">
        <f t="shared" si="5"/>
        <v>8.0200000000000014</v>
      </c>
      <c r="I138" s="24" t="s">
        <v>83</v>
      </c>
      <c r="J138" s="24" t="s">
        <v>84</v>
      </c>
      <c r="K138" s="24" t="s">
        <v>85</v>
      </c>
    </row>
    <row r="139" spans="1:11" ht="15.5">
      <c r="A139" s="24" t="s">
        <v>108</v>
      </c>
      <c r="B139" s="25">
        <v>1138</v>
      </c>
      <c r="C139" s="24">
        <v>8722</v>
      </c>
      <c r="D139" s="24" t="s">
        <v>90</v>
      </c>
      <c r="E139" s="27">
        <v>344</v>
      </c>
      <c r="F139" s="27">
        <v>502</v>
      </c>
      <c r="G139" s="27">
        <f t="shared" si="4"/>
        <v>158</v>
      </c>
      <c r="H139" s="27">
        <f t="shared" si="5"/>
        <v>31.6</v>
      </c>
      <c r="I139" s="24" t="s">
        <v>79</v>
      </c>
      <c r="J139" s="24" t="s">
        <v>80</v>
      </c>
      <c r="K139" s="24" t="s">
        <v>100</v>
      </c>
    </row>
    <row r="140" spans="1:11" ht="15.5">
      <c r="A140" s="24" t="s">
        <v>108</v>
      </c>
      <c r="B140" s="25">
        <v>1139</v>
      </c>
      <c r="C140" s="24">
        <v>4421</v>
      </c>
      <c r="D140" s="24" t="s">
        <v>95</v>
      </c>
      <c r="E140" s="27">
        <v>45</v>
      </c>
      <c r="F140" s="27">
        <v>87</v>
      </c>
      <c r="G140" s="27">
        <f t="shared" si="4"/>
        <v>42</v>
      </c>
      <c r="H140" s="27">
        <f t="shared" si="5"/>
        <v>8.4</v>
      </c>
      <c r="I140" s="24" t="s">
        <v>87</v>
      </c>
      <c r="J140" s="24" t="s">
        <v>88</v>
      </c>
      <c r="K140" s="24" t="s">
        <v>85</v>
      </c>
    </row>
    <row r="141" spans="1:11" ht="15.5">
      <c r="A141" s="24" t="s">
        <v>108</v>
      </c>
      <c r="B141" s="25">
        <v>1140</v>
      </c>
      <c r="C141" s="24">
        <v>4421</v>
      </c>
      <c r="D141" s="24" t="s">
        <v>95</v>
      </c>
      <c r="E141" s="27">
        <v>45</v>
      </c>
      <c r="F141" s="27">
        <v>87</v>
      </c>
      <c r="G141" s="27">
        <f t="shared" si="4"/>
        <v>42</v>
      </c>
      <c r="H141" s="27">
        <f t="shared" si="5"/>
        <v>8.4</v>
      </c>
      <c r="I141" s="24" t="s">
        <v>83</v>
      </c>
      <c r="J141" s="24" t="s">
        <v>84</v>
      </c>
      <c r="K141" s="24" t="s">
        <v>99</v>
      </c>
    </row>
    <row r="142" spans="1:11" ht="15.5">
      <c r="A142" s="24" t="s">
        <v>108</v>
      </c>
      <c r="B142" s="25">
        <v>1141</v>
      </c>
      <c r="C142" s="24">
        <v>9212</v>
      </c>
      <c r="D142" s="24" t="s">
        <v>96</v>
      </c>
      <c r="E142" s="27">
        <v>4</v>
      </c>
      <c r="F142" s="27">
        <v>7</v>
      </c>
      <c r="G142" s="27">
        <f t="shared" si="4"/>
        <v>3</v>
      </c>
      <c r="H142" s="27">
        <f t="shared" si="5"/>
        <v>0.30000000000000004</v>
      </c>
      <c r="I142" s="24" t="s">
        <v>83</v>
      </c>
      <c r="J142" s="24" t="s">
        <v>84</v>
      </c>
      <c r="K142" s="24" t="s">
        <v>89</v>
      </c>
    </row>
    <row r="143" spans="1:11" ht="15.5">
      <c r="A143" s="24" t="s">
        <v>109</v>
      </c>
      <c r="B143" s="25">
        <v>1142</v>
      </c>
      <c r="C143" s="24">
        <v>2242</v>
      </c>
      <c r="D143" s="24" t="s">
        <v>98</v>
      </c>
      <c r="E143" s="27">
        <v>60</v>
      </c>
      <c r="F143" s="27">
        <v>124</v>
      </c>
      <c r="G143" s="27">
        <f t="shared" si="4"/>
        <v>64</v>
      </c>
      <c r="H143" s="27">
        <f t="shared" si="5"/>
        <v>12.8</v>
      </c>
      <c r="I143" s="24" t="s">
        <v>83</v>
      </c>
      <c r="J143" s="24" t="s">
        <v>84</v>
      </c>
      <c r="K143" s="24" t="s">
        <v>99</v>
      </c>
    </row>
    <row r="144" spans="1:11" ht="15.5">
      <c r="A144" s="24" t="s">
        <v>109</v>
      </c>
      <c r="B144" s="25">
        <v>1143</v>
      </c>
      <c r="C144" s="24">
        <v>9822</v>
      </c>
      <c r="D144" s="24" t="s">
        <v>78</v>
      </c>
      <c r="E144" s="27">
        <v>58.3</v>
      </c>
      <c r="F144" s="27">
        <v>98.4</v>
      </c>
      <c r="G144" s="27">
        <f t="shared" si="4"/>
        <v>40.100000000000009</v>
      </c>
      <c r="H144" s="27">
        <f t="shared" si="5"/>
        <v>8.0200000000000014</v>
      </c>
      <c r="I144" s="24" t="s">
        <v>92</v>
      </c>
      <c r="J144" s="24" t="s">
        <v>93</v>
      </c>
      <c r="K144" s="24" t="s">
        <v>89</v>
      </c>
    </row>
    <row r="145" spans="1:11" ht="15.5">
      <c r="A145" s="24" t="s">
        <v>109</v>
      </c>
      <c r="B145" s="25">
        <v>1144</v>
      </c>
      <c r="C145" s="24">
        <v>2242</v>
      </c>
      <c r="D145" s="24" t="s">
        <v>98</v>
      </c>
      <c r="E145" s="27">
        <v>60</v>
      </c>
      <c r="F145" s="27">
        <v>124</v>
      </c>
      <c r="G145" s="27">
        <f t="shared" si="4"/>
        <v>64</v>
      </c>
      <c r="H145" s="27">
        <f t="shared" si="5"/>
        <v>12.8</v>
      </c>
      <c r="I145" s="24" t="s">
        <v>92</v>
      </c>
      <c r="J145" s="24" t="s">
        <v>93</v>
      </c>
      <c r="K145" s="24" t="s">
        <v>85</v>
      </c>
    </row>
    <row r="146" spans="1:11" ht="15.5">
      <c r="A146" s="24" t="s">
        <v>109</v>
      </c>
      <c r="B146" s="25">
        <v>1145</v>
      </c>
      <c r="C146" s="24">
        <v>4421</v>
      </c>
      <c r="D146" s="24" t="s">
        <v>95</v>
      </c>
      <c r="E146" s="27">
        <v>45</v>
      </c>
      <c r="F146" s="27">
        <v>87</v>
      </c>
      <c r="G146" s="27">
        <f t="shared" si="4"/>
        <v>42</v>
      </c>
      <c r="H146" s="27">
        <f t="shared" si="5"/>
        <v>8.4</v>
      </c>
      <c r="I146" s="24" t="s">
        <v>92</v>
      </c>
      <c r="J146" s="24" t="s">
        <v>93</v>
      </c>
      <c r="K146" s="24" t="s">
        <v>81</v>
      </c>
    </row>
    <row r="147" spans="1:11" ht="15.5">
      <c r="A147" s="24" t="s">
        <v>109</v>
      </c>
      <c r="B147" s="25">
        <v>1146</v>
      </c>
      <c r="C147" s="24">
        <v>8722</v>
      </c>
      <c r="D147" s="24" t="s">
        <v>90</v>
      </c>
      <c r="E147" s="27">
        <v>344</v>
      </c>
      <c r="F147" s="27">
        <v>502</v>
      </c>
      <c r="G147" s="27">
        <f t="shared" si="4"/>
        <v>158</v>
      </c>
      <c r="H147" s="27">
        <f t="shared" si="5"/>
        <v>31.6</v>
      </c>
      <c r="I147" s="24" t="s">
        <v>92</v>
      </c>
      <c r="J147" s="24" t="s">
        <v>93</v>
      </c>
      <c r="K147" s="24" t="s">
        <v>99</v>
      </c>
    </row>
    <row r="148" spans="1:11" ht="15.5">
      <c r="A148" s="24" t="s">
        <v>109</v>
      </c>
      <c r="B148" s="25">
        <v>1147</v>
      </c>
      <c r="C148" s="24">
        <v>9822</v>
      </c>
      <c r="D148" s="24" t="s">
        <v>78</v>
      </c>
      <c r="E148" s="27">
        <v>58.3</v>
      </c>
      <c r="F148" s="27">
        <v>98.4</v>
      </c>
      <c r="G148" s="27">
        <f t="shared" si="4"/>
        <v>40.100000000000009</v>
      </c>
      <c r="H148" s="27">
        <f t="shared" si="5"/>
        <v>8.0200000000000014</v>
      </c>
      <c r="I148" s="24" t="s">
        <v>79</v>
      </c>
      <c r="J148" s="24" t="s">
        <v>80</v>
      </c>
      <c r="K148" s="24" t="s">
        <v>85</v>
      </c>
    </row>
    <row r="149" spans="1:11" ht="15.5">
      <c r="A149" s="24" t="s">
        <v>109</v>
      </c>
      <c r="B149" s="25">
        <v>1148</v>
      </c>
      <c r="C149" s="24">
        <v>9212</v>
      </c>
      <c r="D149" s="24" t="s">
        <v>96</v>
      </c>
      <c r="E149" s="27">
        <v>4</v>
      </c>
      <c r="F149" s="27">
        <v>7</v>
      </c>
      <c r="G149" s="27">
        <f t="shared" si="4"/>
        <v>3</v>
      </c>
      <c r="H149" s="27">
        <f t="shared" si="5"/>
        <v>0.30000000000000004</v>
      </c>
      <c r="I149" s="24" t="s">
        <v>87</v>
      </c>
      <c r="J149" s="24" t="s">
        <v>88</v>
      </c>
      <c r="K149" s="24" t="s">
        <v>89</v>
      </c>
    </row>
    <row r="150" spans="1:11" ht="15.5">
      <c r="A150" s="24" t="s">
        <v>109</v>
      </c>
      <c r="B150" s="25">
        <v>1149</v>
      </c>
      <c r="C150" s="24">
        <v>8722</v>
      </c>
      <c r="D150" s="24" t="s">
        <v>90</v>
      </c>
      <c r="E150" s="27">
        <v>344</v>
      </c>
      <c r="F150" s="27">
        <v>502</v>
      </c>
      <c r="G150" s="27">
        <f t="shared" si="4"/>
        <v>158</v>
      </c>
      <c r="H150" s="27">
        <f t="shared" si="5"/>
        <v>31.6</v>
      </c>
      <c r="I150" s="24" t="s">
        <v>79</v>
      </c>
      <c r="J150" s="24" t="s">
        <v>80</v>
      </c>
      <c r="K150" s="24" t="s">
        <v>89</v>
      </c>
    </row>
    <row r="151" spans="1:11" ht="15.5">
      <c r="A151" s="24" t="s">
        <v>110</v>
      </c>
      <c r="B151" s="25">
        <v>1150</v>
      </c>
      <c r="C151" s="24">
        <v>2242</v>
      </c>
      <c r="D151" s="24" t="s">
        <v>98</v>
      </c>
      <c r="E151" s="27">
        <v>60</v>
      </c>
      <c r="F151" s="27">
        <v>124</v>
      </c>
      <c r="G151" s="27">
        <f t="shared" si="4"/>
        <v>64</v>
      </c>
      <c r="H151" s="27">
        <f t="shared" si="5"/>
        <v>12.8</v>
      </c>
      <c r="I151" s="24" t="s">
        <v>87</v>
      </c>
      <c r="J151" s="24" t="s">
        <v>88</v>
      </c>
      <c r="K151" s="24" t="s">
        <v>100</v>
      </c>
    </row>
    <row r="152" spans="1:11" ht="15.5">
      <c r="A152" s="24" t="s">
        <v>110</v>
      </c>
      <c r="B152" s="25">
        <v>1151</v>
      </c>
      <c r="C152" s="24">
        <v>2242</v>
      </c>
      <c r="D152" s="24" t="s">
        <v>98</v>
      </c>
      <c r="E152" s="27">
        <v>60</v>
      </c>
      <c r="F152" s="27">
        <v>124</v>
      </c>
      <c r="G152" s="27">
        <f t="shared" si="4"/>
        <v>64</v>
      </c>
      <c r="H152" s="27">
        <f t="shared" si="5"/>
        <v>12.8</v>
      </c>
      <c r="I152" s="24" t="s">
        <v>83</v>
      </c>
      <c r="J152" s="24" t="s">
        <v>84</v>
      </c>
      <c r="K152" s="24" t="s">
        <v>85</v>
      </c>
    </row>
    <row r="153" spans="1:11" ht="15.5">
      <c r="A153" s="24" t="s">
        <v>110</v>
      </c>
      <c r="B153" s="25">
        <v>1152</v>
      </c>
      <c r="C153" s="24">
        <v>4421</v>
      </c>
      <c r="D153" s="24" t="s">
        <v>95</v>
      </c>
      <c r="E153" s="27">
        <v>45</v>
      </c>
      <c r="F153" s="27">
        <v>87</v>
      </c>
      <c r="G153" s="27">
        <f t="shared" si="4"/>
        <v>42</v>
      </c>
      <c r="H153" s="27">
        <f t="shared" si="5"/>
        <v>8.4</v>
      </c>
      <c r="I153" s="24" t="s">
        <v>79</v>
      </c>
      <c r="J153" s="24" t="s">
        <v>80</v>
      </c>
      <c r="K153" s="24" t="s">
        <v>99</v>
      </c>
    </row>
    <row r="154" spans="1:11" ht="15.5">
      <c r="A154" s="24" t="s">
        <v>110</v>
      </c>
      <c r="B154" s="25">
        <v>1153</v>
      </c>
      <c r="C154" s="24">
        <v>8722</v>
      </c>
      <c r="D154" s="24" t="s">
        <v>90</v>
      </c>
      <c r="E154" s="27">
        <v>344</v>
      </c>
      <c r="F154" s="27">
        <v>502</v>
      </c>
      <c r="G154" s="27">
        <f t="shared" si="4"/>
        <v>158</v>
      </c>
      <c r="H154" s="27">
        <f t="shared" si="5"/>
        <v>31.6</v>
      </c>
      <c r="I154" s="24" t="s">
        <v>87</v>
      </c>
      <c r="J154" s="24" t="s">
        <v>88</v>
      </c>
      <c r="K154" s="24" t="s">
        <v>89</v>
      </c>
    </row>
    <row r="155" spans="1:11" ht="15.5">
      <c r="A155" s="24" t="s">
        <v>110</v>
      </c>
      <c r="B155" s="25">
        <v>1154</v>
      </c>
      <c r="C155" s="24">
        <v>9822</v>
      </c>
      <c r="D155" s="24" t="s">
        <v>78</v>
      </c>
      <c r="E155" s="27">
        <v>58.3</v>
      </c>
      <c r="F155" s="27">
        <v>98.4</v>
      </c>
      <c r="G155" s="27">
        <f t="shared" si="4"/>
        <v>40.100000000000009</v>
      </c>
      <c r="H155" s="27">
        <f t="shared" si="5"/>
        <v>8.0200000000000014</v>
      </c>
      <c r="I155" s="24" t="s">
        <v>83</v>
      </c>
      <c r="J155" s="24" t="s">
        <v>84</v>
      </c>
      <c r="K155" s="24" t="s">
        <v>99</v>
      </c>
    </row>
    <row r="156" spans="1:11" ht="15.5">
      <c r="A156" s="24" t="s">
        <v>110</v>
      </c>
      <c r="B156" s="25">
        <v>1155</v>
      </c>
      <c r="C156" s="24">
        <v>4421</v>
      </c>
      <c r="D156" s="24" t="s">
        <v>95</v>
      </c>
      <c r="E156" s="27">
        <v>45</v>
      </c>
      <c r="F156" s="27">
        <v>87</v>
      </c>
      <c r="G156" s="27">
        <f t="shared" si="4"/>
        <v>42</v>
      </c>
      <c r="H156" s="27">
        <f t="shared" si="5"/>
        <v>8.4</v>
      </c>
      <c r="I156" s="24" t="s">
        <v>87</v>
      </c>
      <c r="J156" s="24" t="s">
        <v>88</v>
      </c>
      <c r="K156" s="24" t="s">
        <v>89</v>
      </c>
    </row>
    <row r="157" spans="1:11" ht="15.5">
      <c r="A157" s="24" t="s">
        <v>110</v>
      </c>
      <c r="B157" s="25">
        <v>1156</v>
      </c>
      <c r="C157" s="24">
        <v>2242</v>
      </c>
      <c r="D157" s="24" t="s">
        <v>98</v>
      </c>
      <c r="E157" s="27">
        <v>60</v>
      </c>
      <c r="F157" s="27">
        <v>124</v>
      </c>
      <c r="G157" s="27">
        <f t="shared" si="4"/>
        <v>64</v>
      </c>
      <c r="H157" s="27">
        <f t="shared" si="5"/>
        <v>12.8</v>
      </c>
      <c r="I157" s="24" t="s">
        <v>87</v>
      </c>
      <c r="J157" s="24" t="s">
        <v>88</v>
      </c>
      <c r="K157" s="24" t="s">
        <v>85</v>
      </c>
    </row>
    <row r="158" spans="1:11" ht="15.5">
      <c r="A158" s="24" t="s">
        <v>110</v>
      </c>
      <c r="B158" s="25">
        <v>1157</v>
      </c>
      <c r="C158" s="24">
        <v>9212</v>
      </c>
      <c r="D158" s="24" t="s">
        <v>96</v>
      </c>
      <c r="E158" s="27">
        <v>4</v>
      </c>
      <c r="F158" s="27">
        <v>7</v>
      </c>
      <c r="G158" s="27">
        <f t="shared" si="4"/>
        <v>3</v>
      </c>
      <c r="H158" s="27">
        <f t="shared" si="5"/>
        <v>0.30000000000000004</v>
      </c>
      <c r="I158" s="24" t="s">
        <v>87</v>
      </c>
      <c r="J158" s="24" t="s">
        <v>88</v>
      </c>
      <c r="K158" s="24" t="s">
        <v>81</v>
      </c>
    </row>
    <row r="159" spans="1:11" ht="15.5">
      <c r="A159" s="24" t="s">
        <v>111</v>
      </c>
      <c r="B159" s="25">
        <v>1158</v>
      </c>
      <c r="C159" s="24">
        <v>8722</v>
      </c>
      <c r="D159" s="24" t="s">
        <v>90</v>
      </c>
      <c r="E159" s="27">
        <v>344</v>
      </c>
      <c r="F159" s="27">
        <v>502</v>
      </c>
      <c r="G159" s="27">
        <f t="shared" si="4"/>
        <v>158</v>
      </c>
      <c r="H159" s="27">
        <f t="shared" si="5"/>
        <v>31.6</v>
      </c>
      <c r="I159" s="24" t="s">
        <v>79</v>
      </c>
      <c r="J159" s="24" t="s">
        <v>80</v>
      </c>
      <c r="K159" s="24" t="s">
        <v>99</v>
      </c>
    </row>
    <row r="160" spans="1:11" ht="15.5">
      <c r="A160" s="24" t="s">
        <v>111</v>
      </c>
      <c r="B160" s="25">
        <v>1159</v>
      </c>
      <c r="C160" s="24">
        <v>6622</v>
      </c>
      <c r="D160" s="24" t="s">
        <v>103</v>
      </c>
      <c r="E160" s="27">
        <v>42</v>
      </c>
      <c r="F160" s="27">
        <v>77</v>
      </c>
      <c r="G160" s="27">
        <f t="shared" si="4"/>
        <v>35</v>
      </c>
      <c r="H160" s="27">
        <f t="shared" si="5"/>
        <v>7</v>
      </c>
      <c r="I160" s="24" t="s">
        <v>87</v>
      </c>
      <c r="J160" s="24" t="s">
        <v>88</v>
      </c>
      <c r="K160" s="24" t="s">
        <v>85</v>
      </c>
    </row>
    <row r="161" spans="1:11" ht="15.5">
      <c r="A161" s="24" t="s">
        <v>111</v>
      </c>
      <c r="B161" s="25">
        <v>1160</v>
      </c>
      <c r="C161" s="24">
        <v>9822</v>
      </c>
      <c r="D161" s="24" t="s">
        <v>78</v>
      </c>
      <c r="E161" s="27">
        <v>58.3</v>
      </c>
      <c r="F161" s="27">
        <v>98.4</v>
      </c>
      <c r="G161" s="27">
        <f t="shared" si="4"/>
        <v>40.100000000000009</v>
      </c>
      <c r="H161" s="27">
        <f t="shared" si="5"/>
        <v>8.0200000000000014</v>
      </c>
      <c r="I161" s="24" t="s">
        <v>92</v>
      </c>
      <c r="J161" s="24" t="s">
        <v>93</v>
      </c>
      <c r="K161" s="24" t="s">
        <v>99</v>
      </c>
    </row>
    <row r="162" spans="1:11" ht="15.5">
      <c r="A162" s="24" t="s">
        <v>111</v>
      </c>
      <c r="B162" s="25">
        <v>1161</v>
      </c>
      <c r="C162" s="24">
        <v>4421</v>
      </c>
      <c r="D162" s="24" t="s">
        <v>95</v>
      </c>
      <c r="E162" s="27">
        <v>45</v>
      </c>
      <c r="F162" s="27">
        <v>87</v>
      </c>
      <c r="G162" s="27">
        <f t="shared" si="4"/>
        <v>42</v>
      </c>
      <c r="H162" s="27">
        <f t="shared" si="5"/>
        <v>8.4</v>
      </c>
      <c r="I162" s="24" t="s">
        <v>83</v>
      </c>
      <c r="J162" s="24" t="s">
        <v>84</v>
      </c>
      <c r="K162" s="24" t="s">
        <v>85</v>
      </c>
    </row>
    <row r="163" spans="1:11" ht="15.5">
      <c r="A163" s="24" t="s">
        <v>111</v>
      </c>
      <c r="B163" s="25">
        <v>1162</v>
      </c>
      <c r="C163" s="24">
        <v>9212</v>
      </c>
      <c r="D163" s="24" t="s">
        <v>96</v>
      </c>
      <c r="E163" s="27">
        <v>4</v>
      </c>
      <c r="F163" s="27">
        <v>7</v>
      </c>
      <c r="G163" s="27">
        <f t="shared" si="4"/>
        <v>3</v>
      </c>
      <c r="H163" s="27">
        <f t="shared" si="5"/>
        <v>0.30000000000000004</v>
      </c>
      <c r="I163" s="24" t="s">
        <v>79</v>
      </c>
      <c r="J163" s="24" t="s">
        <v>80</v>
      </c>
      <c r="K163" s="24" t="s">
        <v>89</v>
      </c>
    </row>
    <row r="164" spans="1:11" ht="15.5">
      <c r="A164" s="24" t="s">
        <v>111</v>
      </c>
      <c r="B164" s="25">
        <v>1163</v>
      </c>
      <c r="C164" s="24">
        <v>9212</v>
      </c>
      <c r="D164" s="24" t="s">
        <v>96</v>
      </c>
      <c r="E164" s="27">
        <v>4</v>
      </c>
      <c r="F164" s="27">
        <v>7</v>
      </c>
      <c r="G164" s="27">
        <f t="shared" si="4"/>
        <v>3</v>
      </c>
      <c r="H164" s="27">
        <f t="shared" si="5"/>
        <v>0.30000000000000004</v>
      </c>
      <c r="I164" s="24" t="s">
        <v>87</v>
      </c>
      <c r="J164" s="24" t="s">
        <v>88</v>
      </c>
      <c r="K164" s="24" t="s">
        <v>85</v>
      </c>
    </row>
    <row r="165" spans="1:11" ht="15.5">
      <c r="A165" s="24" t="s">
        <v>111</v>
      </c>
      <c r="B165" s="25">
        <v>1164</v>
      </c>
      <c r="C165" s="24">
        <v>9822</v>
      </c>
      <c r="D165" s="24" t="s">
        <v>78</v>
      </c>
      <c r="E165" s="27">
        <v>58.3</v>
      </c>
      <c r="F165" s="27">
        <v>98.4</v>
      </c>
      <c r="G165" s="27">
        <f t="shared" si="4"/>
        <v>40.100000000000009</v>
      </c>
      <c r="H165" s="27">
        <f t="shared" si="5"/>
        <v>8.0200000000000014</v>
      </c>
      <c r="I165" s="24" t="s">
        <v>87</v>
      </c>
      <c r="J165" s="24" t="s">
        <v>88</v>
      </c>
      <c r="K165" s="24" t="s">
        <v>89</v>
      </c>
    </row>
    <row r="166" spans="1:11" ht="15.5">
      <c r="A166" s="24" t="s">
        <v>111</v>
      </c>
      <c r="B166" s="25">
        <v>1165</v>
      </c>
      <c r="C166" s="24">
        <v>9822</v>
      </c>
      <c r="D166" s="24" t="s">
        <v>78</v>
      </c>
      <c r="E166" s="27">
        <v>58.3</v>
      </c>
      <c r="F166" s="27">
        <v>98.4</v>
      </c>
      <c r="G166" s="27">
        <f t="shared" si="4"/>
        <v>40.100000000000009</v>
      </c>
      <c r="H166" s="27">
        <f t="shared" si="5"/>
        <v>8.0200000000000014</v>
      </c>
      <c r="I166" s="24" t="s">
        <v>87</v>
      </c>
      <c r="J166" s="24" t="s">
        <v>88</v>
      </c>
      <c r="K166" s="24" t="s">
        <v>89</v>
      </c>
    </row>
    <row r="167" spans="1:11" ht="15.5">
      <c r="A167" s="24" t="s">
        <v>111</v>
      </c>
      <c r="B167" s="25">
        <v>1166</v>
      </c>
      <c r="C167" s="24">
        <v>8722</v>
      </c>
      <c r="D167" s="24" t="s">
        <v>90</v>
      </c>
      <c r="E167" s="27">
        <v>344</v>
      </c>
      <c r="F167" s="27">
        <v>502</v>
      </c>
      <c r="G167" s="27">
        <f t="shared" si="4"/>
        <v>158</v>
      </c>
      <c r="H167" s="27">
        <f t="shared" si="5"/>
        <v>31.6</v>
      </c>
      <c r="I167" s="24" t="s">
        <v>87</v>
      </c>
      <c r="J167" s="24" t="s">
        <v>88</v>
      </c>
      <c r="K167" s="24" t="s">
        <v>99</v>
      </c>
    </row>
    <row r="168" spans="1:11" ht="15.5">
      <c r="A168" s="24" t="s">
        <v>112</v>
      </c>
      <c r="B168" s="25">
        <v>1167</v>
      </c>
      <c r="C168" s="24">
        <v>2242</v>
      </c>
      <c r="D168" s="24" t="s">
        <v>98</v>
      </c>
      <c r="E168" s="27">
        <v>60</v>
      </c>
      <c r="F168" s="27">
        <v>124</v>
      </c>
      <c r="G168" s="27">
        <f t="shared" si="4"/>
        <v>64</v>
      </c>
      <c r="H168" s="27">
        <f t="shared" si="5"/>
        <v>12.8</v>
      </c>
      <c r="I168" s="24" t="s">
        <v>87</v>
      </c>
      <c r="J168" s="24" t="s">
        <v>88</v>
      </c>
      <c r="K168" s="24" t="s">
        <v>81</v>
      </c>
    </row>
    <row r="169" spans="1:11" ht="15.5">
      <c r="A169" s="24" t="s">
        <v>112</v>
      </c>
      <c r="B169" s="25">
        <v>1168</v>
      </c>
      <c r="C169" s="24">
        <v>9822</v>
      </c>
      <c r="D169" s="24" t="s">
        <v>78</v>
      </c>
      <c r="E169" s="27">
        <v>58.3</v>
      </c>
      <c r="F169" s="27">
        <v>98.4</v>
      </c>
      <c r="G169" s="27">
        <f t="shared" si="4"/>
        <v>40.100000000000009</v>
      </c>
      <c r="H169" s="27">
        <f t="shared" si="5"/>
        <v>8.0200000000000014</v>
      </c>
      <c r="I169" s="24" t="s">
        <v>87</v>
      </c>
      <c r="J169" s="24" t="s">
        <v>88</v>
      </c>
      <c r="K169" s="24" t="s">
        <v>85</v>
      </c>
    </row>
    <row r="170" spans="1:11" ht="15.5">
      <c r="A170" s="24" t="s">
        <v>112</v>
      </c>
      <c r="B170" s="25">
        <v>1169</v>
      </c>
      <c r="C170" s="24">
        <v>8722</v>
      </c>
      <c r="D170" s="24" t="s">
        <v>90</v>
      </c>
      <c r="E170" s="27">
        <v>344</v>
      </c>
      <c r="F170" s="27">
        <v>502</v>
      </c>
      <c r="G170" s="27">
        <f t="shared" si="4"/>
        <v>158</v>
      </c>
      <c r="H170" s="27">
        <f t="shared" si="5"/>
        <v>31.6</v>
      </c>
      <c r="I170" s="24" t="s">
        <v>87</v>
      </c>
      <c r="J170" s="24" t="s">
        <v>88</v>
      </c>
      <c r="K170" s="24" t="s">
        <v>100</v>
      </c>
    </row>
    <row r="171" spans="1:11" ht="15.5">
      <c r="A171" s="24" t="s">
        <v>112</v>
      </c>
      <c r="B171" s="25">
        <v>1170</v>
      </c>
      <c r="C171" s="24">
        <v>4421</v>
      </c>
      <c r="D171" s="24" t="s">
        <v>95</v>
      </c>
      <c r="E171" s="27">
        <v>45</v>
      </c>
      <c r="F171" s="27">
        <v>87</v>
      </c>
      <c r="G171" s="27">
        <f t="shared" si="4"/>
        <v>42</v>
      </c>
      <c r="H171" s="27">
        <f t="shared" si="5"/>
        <v>8.4</v>
      </c>
      <c r="I171" s="24" t="s">
        <v>79</v>
      </c>
      <c r="J171" s="24" t="s">
        <v>80</v>
      </c>
      <c r="K171" s="24" t="s">
        <v>85</v>
      </c>
    </row>
    <row r="172" spans="1:11" ht="15.5">
      <c r="A172" s="24" t="s">
        <v>112</v>
      </c>
      <c r="B172" s="25">
        <v>1171</v>
      </c>
      <c r="C172" s="24">
        <v>4421</v>
      </c>
      <c r="D172" s="24" t="s">
        <v>95</v>
      </c>
      <c r="E172" s="27">
        <v>45</v>
      </c>
      <c r="F172" s="27">
        <v>87</v>
      </c>
      <c r="G172" s="27">
        <f t="shared" si="4"/>
        <v>42</v>
      </c>
      <c r="H172" s="27">
        <f t="shared" si="5"/>
        <v>8.4</v>
      </c>
      <c r="I172" s="24" t="s">
        <v>83</v>
      </c>
      <c r="J172" s="24" t="s">
        <v>84</v>
      </c>
      <c r="K172" s="24" t="s">
        <v>99</v>
      </c>
    </row>
    <row r="175" spans="1:11">
      <c r="A175" t="s">
        <v>113</v>
      </c>
      <c r="F175" s="3">
        <f>SUM(F2:F172)</f>
        <v>17110.599999999995</v>
      </c>
    </row>
    <row r="176" spans="1:11">
      <c r="A176" t="s">
        <v>114</v>
      </c>
      <c r="F176" s="3">
        <f>SUMIF(F2:F172,"&gt;50")</f>
        <v>16088.399999999994</v>
      </c>
    </row>
    <row r="177" spans="1:6">
      <c r="A177" t="s">
        <v>115</v>
      </c>
      <c r="F177" s="3">
        <f>SUMIF(F2:F172,"&lt;=50")</f>
        <v>1022.1999999999997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BEFE-3768-4DF8-B49A-8EC94C9867DE}">
  <dimension ref="A1:D61"/>
  <sheetViews>
    <sheetView topLeftCell="A40" workbookViewId="0">
      <selection activeCell="E6" sqref="E6"/>
    </sheetView>
  </sheetViews>
  <sheetFormatPr defaultRowHeight="14.5"/>
  <cols>
    <col min="2" max="2" width="17.54296875" bestFit="1" customWidth="1"/>
  </cols>
  <sheetData>
    <row r="1" spans="1:4">
      <c r="A1" s="28" t="s">
        <v>122</v>
      </c>
      <c r="B1" s="28" t="s">
        <v>123</v>
      </c>
      <c r="C1" s="28" t="s">
        <v>124</v>
      </c>
      <c r="D1" s="28" t="s">
        <v>125</v>
      </c>
    </row>
    <row r="2" spans="1:4">
      <c r="A2" s="29" t="s">
        <v>126</v>
      </c>
      <c r="B2" s="29" t="s">
        <v>127</v>
      </c>
      <c r="C2" s="30">
        <v>25</v>
      </c>
      <c r="D2" s="31">
        <v>44562</v>
      </c>
    </row>
    <row r="3" spans="1:4">
      <c r="A3" s="29" t="s">
        <v>128</v>
      </c>
      <c r="B3" s="29" t="s">
        <v>127</v>
      </c>
      <c r="C3" s="30">
        <v>23</v>
      </c>
      <c r="D3" s="31">
        <v>44562</v>
      </c>
    </row>
    <row r="4" spans="1:4">
      <c r="A4" s="29" t="s">
        <v>129</v>
      </c>
      <c r="B4" s="29" t="s">
        <v>127</v>
      </c>
      <c r="C4" s="30">
        <v>22.99</v>
      </c>
      <c r="D4" s="31">
        <v>44562</v>
      </c>
    </row>
    <row r="5" spans="1:4">
      <c r="A5" s="29" t="s">
        <v>126</v>
      </c>
      <c r="B5" s="29" t="s">
        <v>127</v>
      </c>
      <c r="C5" s="30">
        <v>25.75</v>
      </c>
      <c r="D5" s="31">
        <v>44593</v>
      </c>
    </row>
    <row r="6" spans="1:4">
      <c r="A6" s="29" t="s">
        <v>128</v>
      </c>
      <c r="B6" s="29" t="s">
        <v>127</v>
      </c>
      <c r="C6" s="30">
        <v>23.99</v>
      </c>
      <c r="D6" s="31">
        <v>44593</v>
      </c>
    </row>
    <row r="7" spans="1:4">
      <c r="A7" s="29" t="s">
        <v>129</v>
      </c>
      <c r="B7" s="29" t="s">
        <v>127</v>
      </c>
      <c r="C7" s="30">
        <v>23.25</v>
      </c>
      <c r="D7" s="31">
        <v>44593</v>
      </c>
    </row>
    <row r="8" spans="1:4">
      <c r="A8" s="29" t="s">
        <v>126</v>
      </c>
      <c r="B8" s="29" t="s">
        <v>127</v>
      </c>
      <c r="C8" s="30">
        <v>26.99</v>
      </c>
      <c r="D8" s="31">
        <v>44621</v>
      </c>
    </row>
    <row r="9" spans="1:4">
      <c r="A9" s="29" t="s">
        <v>128</v>
      </c>
      <c r="B9" s="29" t="s">
        <v>127</v>
      </c>
      <c r="C9" s="30">
        <v>24.99</v>
      </c>
      <c r="D9" s="31">
        <v>44621</v>
      </c>
    </row>
    <row r="10" spans="1:4">
      <c r="A10" s="29" t="s">
        <v>129</v>
      </c>
      <c r="B10" s="29" t="s">
        <v>127</v>
      </c>
      <c r="C10" s="30">
        <v>24.25</v>
      </c>
      <c r="D10" s="31">
        <v>44621</v>
      </c>
    </row>
    <row r="11" spans="1:4">
      <c r="A11" s="29" t="s">
        <v>126</v>
      </c>
      <c r="B11" s="29" t="s">
        <v>127</v>
      </c>
      <c r="C11" s="30">
        <v>26.99</v>
      </c>
      <c r="D11" s="31">
        <v>44652</v>
      </c>
    </row>
    <row r="12" spans="1:4">
      <c r="A12" s="29" t="s">
        <v>128</v>
      </c>
      <c r="B12" s="29" t="s">
        <v>127</v>
      </c>
      <c r="C12" s="30">
        <v>25.25</v>
      </c>
      <c r="D12" s="31">
        <v>44652</v>
      </c>
    </row>
    <row r="13" spans="1:4">
      <c r="A13" s="29" t="s">
        <v>129</v>
      </c>
      <c r="B13" s="29" t="s">
        <v>127</v>
      </c>
      <c r="C13" s="30">
        <v>24.75</v>
      </c>
      <c r="D13" s="31">
        <v>44652</v>
      </c>
    </row>
    <row r="14" spans="1:4">
      <c r="A14" s="29" t="s">
        <v>126</v>
      </c>
      <c r="B14" s="29" t="s">
        <v>130</v>
      </c>
      <c r="C14" s="30">
        <v>22.99</v>
      </c>
      <c r="D14" s="31">
        <v>44562</v>
      </c>
    </row>
    <row r="15" spans="1:4">
      <c r="A15" s="29" t="s">
        <v>128</v>
      </c>
      <c r="B15" s="29" t="s">
        <v>130</v>
      </c>
      <c r="C15" s="30">
        <v>20.99</v>
      </c>
      <c r="D15" s="31">
        <v>44562</v>
      </c>
    </row>
    <row r="16" spans="1:4">
      <c r="A16" s="29" t="s">
        <v>129</v>
      </c>
      <c r="B16" s="29" t="s">
        <v>130</v>
      </c>
      <c r="C16" s="30">
        <v>23.99</v>
      </c>
      <c r="D16" s="31">
        <v>44562</v>
      </c>
    </row>
    <row r="17" spans="1:4">
      <c r="A17" s="29" t="s">
        <v>126</v>
      </c>
      <c r="B17" s="29" t="s">
        <v>130</v>
      </c>
      <c r="C17" s="30">
        <v>23.99</v>
      </c>
      <c r="D17" s="31">
        <v>44593</v>
      </c>
    </row>
    <row r="18" spans="1:4">
      <c r="A18" s="29" t="s">
        <v>128</v>
      </c>
      <c r="B18" s="29" t="s">
        <v>130</v>
      </c>
      <c r="C18" s="30">
        <v>22.99</v>
      </c>
      <c r="D18" s="31">
        <v>44593</v>
      </c>
    </row>
    <row r="19" spans="1:4">
      <c r="A19" s="29" t="s">
        <v>129</v>
      </c>
      <c r="B19" s="29" t="s">
        <v>130</v>
      </c>
      <c r="C19" s="30">
        <v>24.99</v>
      </c>
      <c r="D19" s="31">
        <v>44593</v>
      </c>
    </row>
    <row r="20" spans="1:4">
      <c r="A20" s="29" t="s">
        <v>126</v>
      </c>
      <c r="B20" s="29" t="s">
        <v>130</v>
      </c>
      <c r="C20" s="30">
        <v>24.25</v>
      </c>
      <c r="D20" s="31">
        <v>44621</v>
      </c>
    </row>
    <row r="21" spans="1:4">
      <c r="A21" s="29" t="s">
        <v>128</v>
      </c>
      <c r="B21" s="29" t="s">
        <v>130</v>
      </c>
      <c r="C21" s="30">
        <v>22.99</v>
      </c>
      <c r="D21" s="31">
        <v>44621</v>
      </c>
    </row>
    <row r="22" spans="1:4">
      <c r="A22" s="29" t="s">
        <v>129</v>
      </c>
      <c r="B22" s="29" t="s">
        <v>130</v>
      </c>
      <c r="C22" s="30">
        <v>25.45</v>
      </c>
      <c r="D22" s="31">
        <v>44621</v>
      </c>
    </row>
    <row r="23" spans="1:4">
      <c r="A23" s="29" t="s">
        <v>126</v>
      </c>
      <c r="B23" s="29" t="s">
        <v>130</v>
      </c>
      <c r="C23" s="30">
        <v>24.49</v>
      </c>
      <c r="D23" s="31">
        <v>44652</v>
      </c>
    </row>
    <row r="24" spans="1:4">
      <c r="A24" s="29" t="s">
        <v>128</v>
      </c>
      <c r="B24" s="29" t="s">
        <v>130</v>
      </c>
      <c r="C24" s="30">
        <v>23.99</v>
      </c>
      <c r="D24" s="31">
        <v>44652</v>
      </c>
    </row>
    <row r="25" spans="1:4">
      <c r="A25" s="29" t="s">
        <v>129</v>
      </c>
      <c r="B25" s="29" t="s">
        <v>130</v>
      </c>
      <c r="C25" s="30">
        <v>25.79</v>
      </c>
      <c r="D25" s="31">
        <v>44652</v>
      </c>
    </row>
    <row r="26" spans="1:4">
      <c r="A26" s="29" t="s">
        <v>126</v>
      </c>
      <c r="B26" s="29" t="s">
        <v>131</v>
      </c>
      <c r="C26" s="30">
        <v>5</v>
      </c>
      <c r="D26" s="31">
        <v>44562</v>
      </c>
    </row>
    <row r="27" spans="1:4">
      <c r="A27" s="29" t="s">
        <v>128</v>
      </c>
      <c r="B27" s="29" t="s">
        <v>131</v>
      </c>
      <c r="C27" s="30">
        <v>4.25</v>
      </c>
      <c r="D27" s="31">
        <v>44562</v>
      </c>
    </row>
    <row r="28" spans="1:4">
      <c r="A28" s="29" t="s">
        <v>129</v>
      </c>
      <c r="B28" s="29" t="s">
        <v>131</v>
      </c>
      <c r="C28" s="30">
        <v>4.99</v>
      </c>
      <c r="D28" s="31">
        <v>44562</v>
      </c>
    </row>
    <row r="29" spans="1:4">
      <c r="A29" s="29" t="s">
        <v>126</v>
      </c>
      <c r="B29" s="29" t="s">
        <v>131</v>
      </c>
      <c r="C29" s="30">
        <v>5.25</v>
      </c>
      <c r="D29" s="31">
        <v>44593</v>
      </c>
    </row>
    <row r="30" spans="1:4">
      <c r="A30" s="29" t="s">
        <v>128</v>
      </c>
      <c r="B30" s="29" t="s">
        <v>131</v>
      </c>
      <c r="C30" s="30">
        <v>4.49</v>
      </c>
      <c r="D30" s="31">
        <v>44593</v>
      </c>
    </row>
    <row r="31" spans="1:4">
      <c r="A31" s="29" t="s">
        <v>129</v>
      </c>
      <c r="B31" s="29" t="s">
        <v>131</v>
      </c>
      <c r="C31" s="30">
        <v>5.15</v>
      </c>
      <c r="D31" s="31">
        <v>44593</v>
      </c>
    </row>
    <row r="32" spans="1:4">
      <c r="A32" s="29" t="s">
        <v>126</v>
      </c>
      <c r="B32" s="29" t="s">
        <v>131</v>
      </c>
      <c r="C32" s="30">
        <v>5.45</v>
      </c>
      <c r="D32" s="31">
        <v>44621</v>
      </c>
    </row>
    <row r="33" spans="1:4">
      <c r="A33" s="29" t="s">
        <v>128</v>
      </c>
      <c r="B33" s="29" t="s">
        <v>131</v>
      </c>
      <c r="C33" s="30">
        <v>4.8</v>
      </c>
      <c r="D33" s="31">
        <v>44621</v>
      </c>
    </row>
    <row r="34" spans="1:4">
      <c r="A34" s="29" t="s">
        <v>129</v>
      </c>
      <c r="B34" s="29" t="s">
        <v>131</v>
      </c>
      <c r="C34" s="30">
        <v>5.25</v>
      </c>
      <c r="D34" s="31">
        <v>44621</v>
      </c>
    </row>
    <row r="35" spans="1:4">
      <c r="A35" s="29" t="s">
        <v>126</v>
      </c>
      <c r="B35" s="29" t="s">
        <v>131</v>
      </c>
      <c r="C35" s="30">
        <v>5.75</v>
      </c>
      <c r="D35" s="31">
        <v>44652</v>
      </c>
    </row>
    <row r="36" spans="1:4">
      <c r="A36" s="29" t="s">
        <v>128</v>
      </c>
      <c r="B36" s="29" t="s">
        <v>131</v>
      </c>
      <c r="C36" s="30">
        <v>4.8899999999999997</v>
      </c>
      <c r="D36" s="31">
        <v>44652</v>
      </c>
    </row>
    <row r="37" spans="1:4">
      <c r="A37" s="29" t="s">
        <v>129</v>
      </c>
      <c r="B37" s="29" t="s">
        <v>131</v>
      </c>
      <c r="C37" s="30">
        <v>5.35</v>
      </c>
      <c r="D37" s="31">
        <v>44652</v>
      </c>
    </row>
    <row r="38" spans="1:4">
      <c r="A38" s="29" t="s">
        <v>126</v>
      </c>
      <c r="B38" s="29" t="s">
        <v>132</v>
      </c>
      <c r="C38" s="30">
        <v>0.65</v>
      </c>
      <c r="D38" s="31">
        <v>44562</v>
      </c>
    </row>
    <row r="39" spans="1:4">
      <c r="A39" s="29" t="s">
        <v>128</v>
      </c>
      <c r="B39" s="29" t="s">
        <v>132</v>
      </c>
      <c r="C39" s="30">
        <v>0.85</v>
      </c>
      <c r="D39" s="31">
        <v>44562</v>
      </c>
    </row>
    <row r="40" spans="1:4">
      <c r="A40" s="29" t="s">
        <v>129</v>
      </c>
      <c r="B40" s="29" t="s">
        <v>132</v>
      </c>
      <c r="C40" s="30">
        <v>0.65</v>
      </c>
      <c r="D40" s="31">
        <v>44562</v>
      </c>
    </row>
    <row r="41" spans="1:4">
      <c r="A41" s="29" t="s">
        <v>126</v>
      </c>
      <c r="B41" s="29" t="s">
        <v>132</v>
      </c>
      <c r="C41" s="30">
        <v>0.75</v>
      </c>
      <c r="D41" s="31">
        <v>44593</v>
      </c>
    </row>
    <row r="42" spans="1:4">
      <c r="A42" s="29" t="s">
        <v>128</v>
      </c>
      <c r="B42" s="29" t="s">
        <v>132</v>
      </c>
      <c r="C42" s="30">
        <v>0.85</v>
      </c>
      <c r="D42" s="31">
        <v>44593</v>
      </c>
    </row>
    <row r="43" spans="1:4">
      <c r="A43" s="29" t="s">
        <v>129</v>
      </c>
      <c r="B43" s="29" t="s">
        <v>132</v>
      </c>
      <c r="C43" s="30">
        <v>0.69</v>
      </c>
      <c r="D43" s="31">
        <v>44593</v>
      </c>
    </row>
    <row r="44" spans="1:4">
      <c r="A44" s="29" t="s">
        <v>126</v>
      </c>
      <c r="B44" s="29" t="s">
        <v>132</v>
      </c>
      <c r="C44" s="30">
        <v>0.85</v>
      </c>
      <c r="D44" s="31">
        <v>44621</v>
      </c>
    </row>
    <row r="45" spans="1:4">
      <c r="A45" s="29" t="s">
        <v>128</v>
      </c>
      <c r="B45" s="29" t="s">
        <v>132</v>
      </c>
      <c r="C45" s="30">
        <v>0.85</v>
      </c>
      <c r="D45" s="31">
        <v>44621</v>
      </c>
    </row>
    <row r="46" spans="1:4">
      <c r="A46" s="29" t="s">
        <v>129</v>
      </c>
      <c r="B46" s="29" t="s">
        <v>132</v>
      </c>
      <c r="C46" s="30">
        <v>0.74</v>
      </c>
      <c r="D46" s="31">
        <v>44621</v>
      </c>
    </row>
    <row r="47" spans="1:4">
      <c r="A47" s="29" t="s">
        <v>126</v>
      </c>
      <c r="B47" s="29" t="s">
        <v>132</v>
      </c>
      <c r="C47" s="30">
        <v>1</v>
      </c>
      <c r="D47" s="31">
        <v>44652</v>
      </c>
    </row>
    <row r="48" spans="1:4">
      <c r="A48" s="29" t="s">
        <v>128</v>
      </c>
      <c r="B48" s="29" t="s">
        <v>132</v>
      </c>
      <c r="C48" s="30">
        <v>0.85</v>
      </c>
      <c r="D48" s="31">
        <v>44652</v>
      </c>
    </row>
    <row r="49" spans="1:4">
      <c r="A49" s="29" t="s">
        <v>129</v>
      </c>
      <c r="B49" s="29" t="s">
        <v>132</v>
      </c>
      <c r="C49" s="30">
        <v>0.79</v>
      </c>
      <c r="D49" s="31">
        <v>44652</v>
      </c>
    </row>
    <row r="50" spans="1:4">
      <c r="A50" s="29" t="s">
        <v>126</v>
      </c>
      <c r="B50" s="29" t="s">
        <v>133</v>
      </c>
      <c r="C50" s="30">
        <v>2</v>
      </c>
      <c r="D50" s="31">
        <v>44562</v>
      </c>
    </row>
    <row r="51" spans="1:4">
      <c r="A51" s="29" t="s">
        <v>128</v>
      </c>
      <c r="B51" s="29" t="s">
        <v>133</v>
      </c>
      <c r="C51" s="30">
        <v>2.2999999999999998</v>
      </c>
      <c r="D51" s="31">
        <v>44562</v>
      </c>
    </row>
    <row r="52" spans="1:4">
      <c r="A52" s="29" t="s">
        <v>129</v>
      </c>
      <c r="B52" s="29" t="s">
        <v>133</v>
      </c>
      <c r="C52" s="30">
        <v>2.2000000000000002</v>
      </c>
      <c r="D52" s="31">
        <v>44562</v>
      </c>
    </row>
    <row r="53" spans="1:4">
      <c r="A53" s="29" t="s">
        <v>126</v>
      </c>
      <c r="B53" s="29" t="s">
        <v>133</v>
      </c>
      <c r="C53" s="30">
        <v>2.1</v>
      </c>
      <c r="D53" s="31">
        <v>44593</v>
      </c>
    </row>
    <row r="54" spans="1:4">
      <c r="A54" s="29" t="s">
        <v>128</v>
      </c>
      <c r="B54" s="29" t="s">
        <v>133</v>
      </c>
      <c r="C54" s="30">
        <v>2.4</v>
      </c>
      <c r="D54" s="31">
        <v>44593</v>
      </c>
    </row>
    <row r="55" spans="1:4">
      <c r="A55" s="29" t="s">
        <v>129</v>
      </c>
      <c r="B55" s="29" t="s">
        <v>133</v>
      </c>
      <c r="C55" s="30">
        <v>2.4500000000000002</v>
      </c>
      <c r="D55" s="31">
        <v>44593</v>
      </c>
    </row>
    <row r="56" spans="1:4">
      <c r="A56" s="29" t="s">
        <v>126</v>
      </c>
      <c r="B56" s="29" t="s">
        <v>133</v>
      </c>
      <c r="C56" s="30">
        <v>2.4</v>
      </c>
      <c r="D56" s="31">
        <v>44621</v>
      </c>
    </row>
    <row r="57" spans="1:4">
      <c r="A57" s="29" t="s">
        <v>128</v>
      </c>
      <c r="B57" s="29" t="s">
        <v>133</v>
      </c>
      <c r="C57" s="30">
        <v>2.5</v>
      </c>
      <c r="D57" s="31">
        <v>44621</v>
      </c>
    </row>
    <row r="58" spans="1:4">
      <c r="A58" s="29" t="s">
        <v>129</v>
      </c>
      <c r="B58" s="29" t="s">
        <v>133</v>
      </c>
      <c r="C58" s="30">
        <v>2.7</v>
      </c>
      <c r="D58" s="31">
        <v>44621</v>
      </c>
    </row>
    <row r="59" spans="1:4">
      <c r="A59" s="29" t="s">
        <v>126</v>
      </c>
      <c r="B59" s="29" t="s">
        <v>133</v>
      </c>
      <c r="C59" s="30">
        <v>2.9</v>
      </c>
      <c r="D59" s="31">
        <v>44652</v>
      </c>
    </row>
    <row r="60" spans="1:4">
      <c r="A60" s="29" t="s">
        <v>128</v>
      </c>
      <c r="B60" s="29" t="s">
        <v>133</v>
      </c>
      <c r="C60" s="30">
        <v>2.7</v>
      </c>
      <c r="D60" s="31">
        <v>44652</v>
      </c>
    </row>
    <row r="61" spans="1:4">
      <c r="A61" s="29" t="s">
        <v>129</v>
      </c>
      <c r="B61" s="29" t="s">
        <v>133</v>
      </c>
      <c r="C61" s="30">
        <v>3</v>
      </c>
      <c r="D61" s="31">
        <v>44652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6C47-346B-4A39-B280-D757E049F05B}">
  <dimension ref="A2:O19"/>
  <sheetViews>
    <sheetView topLeftCell="A7" workbookViewId="0">
      <selection activeCell="S19" sqref="S19"/>
    </sheetView>
  </sheetViews>
  <sheetFormatPr defaultRowHeight="14.5"/>
  <cols>
    <col min="1" max="1" width="17.453125" bestFit="1" customWidth="1"/>
    <col min="3" max="3" width="10.1796875" bestFit="1" customWidth="1"/>
    <col min="4" max="4" width="10.81640625" bestFit="1" customWidth="1"/>
    <col min="8" max="8" width="10.26953125" customWidth="1"/>
    <col min="9" max="9" width="12.54296875" bestFit="1" customWidth="1"/>
    <col min="13" max="13" width="11.1796875" customWidth="1"/>
    <col min="14" max="15" width="11" customWidth="1"/>
  </cols>
  <sheetData>
    <row r="2" spans="1:15">
      <c r="B2" t="s">
        <v>134</v>
      </c>
      <c r="C2" t="s">
        <v>135</v>
      </c>
      <c r="D2" t="s">
        <v>136</v>
      </c>
      <c r="F2" t="s">
        <v>137</v>
      </c>
      <c r="G2" t="s">
        <v>134</v>
      </c>
      <c r="H2" t="s">
        <v>135</v>
      </c>
      <c r="I2" t="s">
        <v>136</v>
      </c>
      <c r="L2" t="s">
        <v>138</v>
      </c>
      <c r="M2" t="s">
        <v>134</v>
      </c>
      <c r="N2" t="s">
        <v>135</v>
      </c>
      <c r="O2" t="s">
        <v>136</v>
      </c>
    </row>
    <row r="3" spans="1:15">
      <c r="A3" t="s">
        <v>139</v>
      </c>
      <c r="B3" s="4">
        <v>0.5</v>
      </c>
      <c r="C3" s="4">
        <v>0.4</v>
      </c>
      <c r="D3" s="4">
        <v>1.4</v>
      </c>
      <c r="F3">
        <v>3</v>
      </c>
      <c r="G3" s="4">
        <f>B3*F3</f>
        <v>1.5</v>
      </c>
      <c r="H3" s="4">
        <f>C3*F3</f>
        <v>1.2000000000000002</v>
      </c>
      <c r="I3" s="4">
        <f>D3*F3</f>
        <v>4.1999999999999993</v>
      </c>
      <c r="L3">
        <v>5</v>
      </c>
      <c r="M3" s="4">
        <f>H3*L3</f>
        <v>6.0000000000000009</v>
      </c>
      <c r="N3" s="4">
        <f>I3*L3</f>
        <v>20.999999999999996</v>
      </c>
      <c r="O3" s="4">
        <f>I3*L3</f>
        <v>20.999999999999996</v>
      </c>
    </row>
    <row r="4" spans="1:15">
      <c r="A4" t="s">
        <v>140</v>
      </c>
      <c r="B4" s="4">
        <v>28</v>
      </c>
      <c r="C4" s="4">
        <v>33</v>
      </c>
      <c r="D4" s="4">
        <v>31</v>
      </c>
      <c r="F4">
        <v>1</v>
      </c>
      <c r="G4" s="4">
        <f t="shared" ref="G4:G17" si="0">B4*F4</f>
        <v>28</v>
      </c>
      <c r="H4" s="4">
        <f t="shared" ref="H4:H17" si="1">C4*F4</f>
        <v>33</v>
      </c>
      <c r="I4" s="4">
        <f t="shared" ref="I4:I17" si="2">D4*F4</f>
        <v>31</v>
      </c>
      <c r="L4">
        <v>10</v>
      </c>
      <c r="M4" s="4">
        <f t="shared" ref="M4:M17" si="3">H4*L4</f>
        <v>330</v>
      </c>
      <c r="N4" s="4">
        <f t="shared" ref="N4:N17" si="4">I4*L4</f>
        <v>310</v>
      </c>
      <c r="O4" s="4">
        <f t="shared" ref="O4:O17" si="5">I4*L4</f>
        <v>310</v>
      </c>
    </row>
    <row r="5" spans="1:15">
      <c r="A5" t="s">
        <v>141</v>
      </c>
      <c r="B5" s="4">
        <v>1.8</v>
      </c>
      <c r="C5" s="4">
        <v>1</v>
      </c>
      <c r="D5" s="4">
        <v>2</v>
      </c>
      <c r="F5">
        <v>7</v>
      </c>
      <c r="G5" s="4">
        <f t="shared" si="0"/>
        <v>12.6</v>
      </c>
      <c r="H5" s="4">
        <f t="shared" si="1"/>
        <v>7</v>
      </c>
      <c r="I5" s="4">
        <f t="shared" si="2"/>
        <v>14</v>
      </c>
      <c r="L5">
        <v>11</v>
      </c>
      <c r="M5" s="4">
        <f t="shared" si="3"/>
        <v>77</v>
      </c>
      <c r="N5" s="4">
        <f t="shared" si="4"/>
        <v>154</v>
      </c>
      <c r="O5" s="4">
        <f t="shared" si="5"/>
        <v>154</v>
      </c>
    </row>
    <row r="6" spans="1:15">
      <c r="A6" t="s">
        <v>142</v>
      </c>
      <c r="B6" s="4">
        <v>1.2</v>
      </c>
      <c r="C6" s="4">
        <v>0.8</v>
      </c>
      <c r="D6" s="4">
        <v>1.5</v>
      </c>
      <c r="F6">
        <v>1</v>
      </c>
      <c r="G6" s="4">
        <f t="shared" si="0"/>
        <v>1.2</v>
      </c>
      <c r="H6" s="4">
        <f t="shared" si="1"/>
        <v>0.8</v>
      </c>
      <c r="I6" s="4">
        <f t="shared" si="2"/>
        <v>1.5</v>
      </c>
      <c r="L6">
        <v>3</v>
      </c>
      <c r="M6" s="4">
        <f t="shared" si="3"/>
        <v>2.4000000000000004</v>
      </c>
      <c r="N6" s="4">
        <f t="shared" si="4"/>
        <v>4.5</v>
      </c>
      <c r="O6" s="4">
        <f t="shared" si="5"/>
        <v>4.5</v>
      </c>
    </row>
    <row r="7" spans="1:15">
      <c r="A7" t="s">
        <v>143</v>
      </c>
      <c r="B7" s="4">
        <v>2.4</v>
      </c>
      <c r="C7" s="4">
        <v>1.4</v>
      </c>
      <c r="D7" s="4">
        <v>2.4</v>
      </c>
      <c r="F7">
        <v>2</v>
      </c>
      <c r="G7" s="4">
        <f t="shared" si="0"/>
        <v>4.8</v>
      </c>
      <c r="H7" s="4">
        <f t="shared" si="1"/>
        <v>2.8</v>
      </c>
      <c r="I7" s="4">
        <f t="shared" si="2"/>
        <v>4.8</v>
      </c>
      <c r="L7">
        <v>6</v>
      </c>
      <c r="M7" s="4">
        <f t="shared" si="3"/>
        <v>16.799999999999997</v>
      </c>
      <c r="N7" s="4">
        <f t="shared" si="4"/>
        <v>28.799999999999997</v>
      </c>
      <c r="O7" s="4">
        <f t="shared" si="5"/>
        <v>28.799999999999997</v>
      </c>
    </row>
    <row r="8" spans="1:15">
      <c r="A8" t="s">
        <v>144</v>
      </c>
      <c r="B8" s="4">
        <v>0.9</v>
      </c>
      <c r="C8" s="4">
        <v>0.2</v>
      </c>
      <c r="D8" s="4">
        <v>0.8</v>
      </c>
      <c r="F8">
        <v>2</v>
      </c>
      <c r="G8" s="4">
        <f t="shared" si="0"/>
        <v>1.8</v>
      </c>
      <c r="H8" s="4">
        <f t="shared" si="1"/>
        <v>0.4</v>
      </c>
      <c r="I8" s="4">
        <f t="shared" si="2"/>
        <v>1.6</v>
      </c>
      <c r="L8">
        <v>9</v>
      </c>
      <c r="M8" s="4">
        <f t="shared" si="3"/>
        <v>3.6</v>
      </c>
      <c r="N8" s="4">
        <f t="shared" si="4"/>
        <v>14.4</v>
      </c>
      <c r="O8" s="4">
        <f t="shared" si="5"/>
        <v>14.4</v>
      </c>
    </row>
    <row r="9" spans="1:15">
      <c r="A9" t="s">
        <v>145</v>
      </c>
      <c r="B9" s="4">
        <v>0.99</v>
      </c>
      <c r="C9" s="4">
        <v>0.59</v>
      </c>
      <c r="D9" s="4">
        <v>2.59</v>
      </c>
      <c r="F9">
        <v>1</v>
      </c>
      <c r="G9" s="4">
        <f t="shared" si="0"/>
        <v>0.99</v>
      </c>
      <c r="H9" s="4">
        <f t="shared" si="1"/>
        <v>0.59</v>
      </c>
      <c r="I9" s="4">
        <f t="shared" si="2"/>
        <v>2.59</v>
      </c>
      <c r="L9">
        <v>12</v>
      </c>
      <c r="M9" s="4">
        <f t="shared" si="3"/>
        <v>7.08</v>
      </c>
      <c r="N9" s="4">
        <f t="shared" si="4"/>
        <v>31.08</v>
      </c>
      <c r="O9" s="4">
        <f t="shared" si="5"/>
        <v>31.08</v>
      </c>
    </row>
    <row r="10" spans="1:15">
      <c r="A10" t="s">
        <v>146</v>
      </c>
      <c r="B10" s="4">
        <v>1.25</v>
      </c>
      <c r="C10" s="4">
        <v>3.25</v>
      </c>
      <c r="D10" s="4">
        <v>2.15</v>
      </c>
      <c r="F10">
        <v>4</v>
      </c>
      <c r="G10" s="4">
        <f t="shared" si="0"/>
        <v>5</v>
      </c>
      <c r="H10" s="4">
        <f t="shared" si="1"/>
        <v>13</v>
      </c>
      <c r="I10" s="4">
        <f t="shared" si="2"/>
        <v>8.6</v>
      </c>
      <c r="L10">
        <v>14</v>
      </c>
      <c r="M10" s="4">
        <f t="shared" si="3"/>
        <v>182</v>
      </c>
      <c r="N10" s="4">
        <f t="shared" si="4"/>
        <v>120.39999999999999</v>
      </c>
      <c r="O10" s="4">
        <f t="shared" si="5"/>
        <v>120.39999999999999</v>
      </c>
    </row>
    <row r="11" spans="1:15">
      <c r="A11" t="s">
        <v>147</v>
      </c>
      <c r="B11" s="4">
        <v>9.5</v>
      </c>
      <c r="C11" s="4">
        <v>14</v>
      </c>
      <c r="D11" s="4">
        <v>13</v>
      </c>
      <c r="F11">
        <v>1</v>
      </c>
      <c r="G11" s="4">
        <f t="shared" si="0"/>
        <v>9.5</v>
      </c>
      <c r="H11" s="4">
        <f t="shared" si="1"/>
        <v>14</v>
      </c>
      <c r="I11" s="4">
        <f t="shared" si="2"/>
        <v>13</v>
      </c>
      <c r="L11">
        <v>23</v>
      </c>
      <c r="M11" s="4">
        <f t="shared" si="3"/>
        <v>322</v>
      </c>
      <c r="N11" s="4">
        <f t="shared" si="4"/>
        <v>299</v>
      </c>
      <c r="O11" s="4">
        <f t="shared" si="5"/>
        <v>299</v>
      </c>
    </row>
    <row r="12" spans="1:15">
      <c r="A12" t="s">
        <v>148</v>
      </c>
      <c r="B12" s="4">
        <v>4.55</v>
      </c>
      <c r="C12" s="4">
        <v>2.5499999999999998</v>
      </c>
      <c r="D12" s="4">
        <v>6</v>
      </c>
      <c r="F12">
        <v>1</v>
      </c>
      <c r="G12" s="4">
        <f t="shared" si="0"/>
        <v>4.55</v>
      </c>
      <c r="H12" s="4">
        <f t="shared" si="1"/>
        <v>2.5499999999999998</v>
      </c>
      <c r="I12" s="4">
        <f t="shared" si="2"/>
        <v>6</v>
      </c>
      <c r="L12">
        <v>22</v>
      </c>
      <c r="M12" s="4">
        <f t="shared" si="3"/>
        <v>56.099999999999994</v>
      </c>
      <c r="N12" s="4">
        <f t="shared" si="4"/>
        <v>132</v>
      </c>
      <c r="O12" s="4">
        <f t="shared" si="5"/>
        <v>132</v>
      </c>
    </row>
    <row r="13" spans="1:15">
      <c r="A13" t="s">
        <v>149</v>
      </c>
      <c r="B13" s="4">
        <v>4.2</v>
      </c>
      <c r="C13" s="4">
        <v>2.2000000000000002</v>
      </c>
      <c r="D13" s="4">
        <v>3</v>
      </c>
      <c r="F13">
        <v>1</v>
      </c>
      <c r="G13" s="4">
        <f t="shared" si="0"/>
        <v>4.2</v>
      </c>
      <c r="H13" s="4">
        <f t="shared" si="1"/>
        <v>2.2000000000000002</v>
      </c>
      <c r="I13" s="4">
        <f t="shared" si="2"/>
        <v>3</v>
      </c>
      <c r="L13">
        <v>15</v>
      </c>
      <c r="M13" s="4">
        <f t="shared" si="3"/>
        <v>33</v>
      </c>
      <c r="N13" s="4">
        <f t="shared" si="4"/>
        <v>45</v>
      </c>
      <c r="O13" s="4">
        <f t="shared" si="5"/>
        <v>45</v>
      </c>
    </row>
    <row r="14" spans="1:15">
      <c r="A14" t="s">
        <v>150</v>
      </c>
      <c r="B14" s="4">
        <v>3.9</v>
      </c>
      <c r="C14" s="4">
        <v>5</v>
      </c>
      <c r="D14" s="4">
        <v>8</v>
      </c>
      <c r="F14">
        <v>1</v>
      </c>
      <c r="G14" s="4">
        <f t="shared" si="0"/>
        <v>3.9</v>
      </c>
      <c r="H14" s="4">
        <f t="shared" si="1"/>
        <v>5</v>
      </c>
      <c r="I14" s="4">
        <f t="shared" si="2"/>
        <v>8</v>
      </c>
      <c r="L14">
        <v>17</v>
      </c>
      <c r="M14" s="4">
        <f t="shared" si="3"/>
        <v>85</v>
      </c>
      <c r="N14" s="4">
        <f t="shared" si="4"/>
        <v>136</v>
      </c>
      <c r="O14" s="4">
        <f t="shared" si="5"/>
        <v>136</v>
      </c>
    </row>
    <row r="15" spans="1:15">
      <c r="A15" t="s">
        <v>151</v>
      </c>
      <c r="B15" s="4">
        <v>1</v>
      </c>
      <c r="C15" s="4">
        <v>2</v>
      </c>
      <c r="D15" s="4">
        <v>1</v>
      </c>
      <c r="F15">
        <v>1</v>
      </c>
      <c r="G15" s="4">
        <f t="shared" si="0"/>
        <v>1</v>
      </c>
      <c r="H15" s="4">
        <f t="shared" si="1"/>
        <v>2</v>
      </c>
      <c r="I15" s="4">
        <f t="shared" si="2"/>
        <v>1</v>
      </c>
      <c r="L15">
        <v>16</v>
      </c>
      <c r="M15" s="4">
        <f t="shared" si="3"/>
        <v>32</v>
      </c>
      <c r="N15" s="4">
        <f t="shared" si="4"/>
        <v>16</v>
      </c>
      <c r="O15" s="4">
        <f t="shared" si="5"/>
        <v>16</v>
      </c>
    </row>
    <row r="16" spans="1:15">
      <c r="A16" t="s">
        <v>152</v>
      </c>
      <c r="B16" s="4">
        <v>1.75</v>
      </c>
      <c r="C16" s="4">
        <v>2</v>
      </c>
      <c r="D16" s="4">
        <v>1</v>
      </c>
      <c r="F16">
        <v>1</v>
      </c>
      <c r="G16" s="4">
        <f t="shared" si="0"/>
        <v>1.75</v>
      </c>
      <c r="H16" s="4">
        <f t="shared" si="1"/>
        <v>2</v>
      </c>
      <c r="I16" s="4">
        <f t="shared" si="2"/>
        <v>1</v>
      </c>
      <c r="L16">
        <v>12</v>
      </c>
      <c r="M16" s="4">
        <f t="shared" si="3"/>
        <v>24</v>
      </c>
      <c r="N16" s="4">
        <f t="shared" si="4"/>
        <v>12</v>
      </c>
      <c r="O16" s="4">
        <f t="shared" si="5"/>
        <v>12</v>
      </c>
    </row>
    <row r="17" spans="1:15">
      <c r="A17" t="s">
        <v>153</v>
      </c>
      <c r="B17" s="4">
        <v>2</v>
      </c>
      <c r="C17" s="4">
        <v>1</v>
      </c>
      <c r="D17" s="4">
        <v>3</v>
      </c>
      <c r="F17">
        <v>1</v>
      </c>
      <c r="G17" s="4">
        <f t="shared" si="0"/>
        <v>2</v>
      </c>
      <c r="H17" s="4">
        <f t="shared" si="1"/>
        <v>1</v>
      </c>
      <c r="I17" s="4">
        <f t="shared" si="2"/>
        <v>3</v>
      </c>
      <c r="L17">
        <v>22</v>
      </c>
      <c r="M17" s="4">
        <f t="shared" si="3"/>
        <v>22</v>
      </c>
      <c r="N17" s="4">
        <f t="shared" si="4"/>
        <v>66</v>
      </c>
      <c r="O17" s="4">
        <f t="shared" si="5"/>
        <v>66</v>
      </c>
    </row>
    <row r="18" spans="1:15">
      <c r="G18" s="2" t="s">
        <v>134</v>
      </c>
      <c r="H18" s="2" t="s">
        <v>135</v>
      </c>
      <c r="I18" s="2" t="s">
        <v>154</v>
      </c>
      <c r="M18" s="2" t="s">
        <v>134</v>
      </c>
      <c r="N18" s="2" t="s">
        <v>135</v>
      </c>
      <c r="O18" s="2" t="s">
        <v>154</v>
      </c>
    </row>
    <row r="19" spans="1:15">
      <c r="F19" t="s">
        <v>48</v>
      </c>
      <c r="G19" s="4">
        <f>SUM(G3:G17)</f>
        <v>82.79</v>
      </c>
      <c r="H19" s="4">
        <f>SUM(H3:H17)</f>
        <v>87.539999999999992</v>
      </c>
      <c r="I19" s="4">
        <f>SUM(I3:I17)</f>
        <v>103.28999999999999</v>
      </c>
      <c r="L19" t="s">
        <v>48</v>
      </c>
      <c r="M19" s="4">
        <f>SUM(M3:M17)</f>
        <v>1198.98</v>
      </c>
      <c r="N19" s="4">
        <f>SUM(N3:N17)</f>
        <v>1390.1799999999998</v>
      </c>
      <c r="O19" s="4">
        <f>SUM(O3:O17)</f>
        <v>1390.1799999999998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F4DA-393D-492F-976A-6079231732BF}">
  <dimension ref="A5:M89"/>
  <sheetViews>
    <sheetView tabSelected="1" zoomScale="71" zoomScaleNormal="71" workbookViewId="0">
      <selection activeCell="N103" sqref="N103"/>
    </sheetView>
  </sheetViews>
  <sheetFormatPr defaultRowHeight="14.5"/>
  <cols>
    <col min="1" max="1" width="12.90625" bestFit="1" customWidth="1"/>
    <col min="2" max="2" width="18.6328125" bestFit="1" customWidth="1"/>
    <col min="3" max="3" width="14.7265625" bestFit="1" customWidth="1"/>
    <col min="4" max="4" width="18.90625" bestFit="1" customWidth="1"/>
    <col min="5" max="5" width="5.7265625" bestFit="1" customWidth="1"/>
    <col min="6" max="6" width="6.81640625" bestFit="1" customWidth="1"/>
    <col min="7" max="7" width="5.7265625" bestFit="1" customWidth="1"/>
    <col min="8" max="8" width="6.81640625" bestFit="1" customWidth="1"/>
    <col min="9" max="9" width="8" bestFit="1" customWidth="1"/>
    <col min="10" max="10" width="5.7265625" bestFit="1" customWidth="1"/>
    <col min="11" max="11" width="6.81640625" bestFit="1" customWidth="1"/>
    <col min="12" max="12" width="11.1796875" bestFit="1" customWidth="1"/>
    <col min="13" max="13" width="22.453125" bestFit="1" customWidth="1"/>
    <col min="14" max="14" width="76.453125" bestFit="1" customWidth="1"/>
    <col min="15" max="15" width="27.26953125" bestFit="1" customWidth="1"/>
    <col min="16" max="16" width="8.26953125" bestFit="1" customWidth="1"/>
    <col min="17" max="17" width="15.453125" bestFit="1" customWidth="1"/>
    <col min="18" max="18" width="5.7265625" bestFit="1" customWidth="1"/>
    <col min="19" max="19" width="10.453125" bestFit="1" customWidth="1"/>
    <col min="20" max="20" width="8.81640625" bestFit="1" customWidth="1"/>
    <col min="21" max="21" width="11.7265625" bestFit="1" customWidth="1"/>
    <col min="22" max="22" width="76.453125" bestFit="1" customWidth="1"/>
    <col min="23" max="23" width="33.26953125" bestFit="1" customWidth="1"/>
    <col min="24" max="25" width="8" bestFit="1" customWidth="1"/>
    <col min="26" max="26" width="24.1796875" bestFit="1" customWidth="1"/>
    <col min="27" max="27" width="24.54296875" bestFit="1" customWidth="1"/>
  </cols>
  <sheetData>
    <row r="5" spans="1:4">
      <c r="A5" s="32" t="s">
        <v>8</v>
      </c>
      <c r="B5" t="s">
        <v>116</v>
      </c>
      <c r="C5" t="s">
        <v>117</v>
      </c>
      <c r="D5" t="s">
        <v>118</v>
      </c>
    </row>
    <row r="6" spans="1:4">
      <c r="A6" t="s">
        <v>88</v>
      </c>
      <c r="B6" s="3">
        <v>70.150000000000006</v>
      </c>
      <c r="C6" s="3">
        <v>34.450000000000003</v>
      </c>
      <c r="D6" s="3">
        <v>35.700000000000003</v>
      </c>
    </row>
    <row r="7" spans="1:4">
      <c r="A7" t="s">
        <v>119</v>
      </c>
      <c r="B7" s="3">
        <v>70.150000000000006</v>
      </c>
      <c r="C7" s="3">
        <v>34.450000000000003</v>
      </c>
      <c r="D7" s="3">
        <v>35.700000000000003</v>
      </c>
    </row>
    <row r="25" spans="1:2">
      <c r="A25" s="32" t="s">
        <v>8</v>
      </c>
      <c r="B25" t="s">
        <v>120</v>
      </c>
    </row>
    <row r="26" spans="1:2">
      <c r="A26" t="s">
        <v>88</v>
      </c>
      <c r="B26" s="3">
        <v>6.6450000000000005</v>
      </c>
    </row>
    <row r="27" spans="1:2">
      <c r="A27" t="s">
        <v>119</v>
      </c>
      <c r="B27" s="3">
        <v>6.6450000000000005</v>
      </c>
    </row>
    <row r="47" spans="1:4">
      <c r="A47" s="32" t="s">
        <v>68</v>
      </c>
      <c r="B47" t="s">
        <v>118</v>
      </c>
      <c r="C47" t="s">
        <v>116</v>
      </c>
      <c r="D47" t="s">
        <v>117</v>
      </c>
    </row>
    <row r="48" spans="1:4">
      <c r="A48" t="s">
        <v>102</v>
      </c>
      <c r="B48" s="3">
        <v>35.700000000000003</v>
      </c>
      <c r="C48" s="3">
        <v>70.150000000000006</v>
      </c>
      <c r="D48" s="3">
        <v>34.450000000000003</v>
      </c>
    </row>
    <row r="49" spans="1:4">
      <c r="A49" t="s">
        <v>119</v>
      </c>
      <c r="B49" s="3">
        <v>35.700000000000003</v>
      </c>
      <c r="C49" s="3">
        <v>70.150000000000006</v>
      </c>
      <c r="D49" s="3">
        <v>34.450000000000003</v>
      </c>
    </row>
    <row r="78" spans="1:13">
      <c r="A78" s="34" t="s">
        <v>121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spans="1:13">
      <c r="A89" s="33"/>
    </row>
  </sheetData>
  <mergeCells count="1">
    <mergeCell ref="A78:M88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Employer Payroll From Jan</vt:lpstr>
      <vt:lpstr>Employers Selection </vt:lpstr>
      <vt:lpstr>Selecting Career</vt:lpstr>
      <vt:lpstr>Sales by Person Overview</vt:lpstr>
      <vt:lpstr>MultipleStore Overview</vt:lpstr>
      <vt:lpstr>Store Comparison</vt:lpstr>
      <vt:lpstr>Sales(Pivot Table + Dashboard)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Rayyan</cp:lastModifiedBy>
  <cp:revision/>
  <dcterms:created xsi:type="dcterms:W3CDTF">2025-02-26T16:37:43Z</dcterms:created>
  <dcterms:modified xsi:type="dcterms:W3CDTF">2026-05-27T11:26:35Z</dcterms:modified>
  <cp:category/>
  <cp:contentStatus/>
</cp:coreProperties>
</file>